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drawings/drawing10.xml" ContentType="application/vnd.openxmlformats-officedocument.drawing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15.xml" ContentType="application/vnd.openxmlformats-officedocument.drawing+xml"/>
  <Override PartName="/xl/ctrlProps/ctrlProp60.xml" ContentType="application/vnd.ms-excel.controlproperties+xml"/>
  <Override PartName="/xl/drawings/drawing16.xml" ContentType="application/vnd.openxmlformats-officedocument.drawing+xml"/>
  <Override PartName="/xl/ctrlProps/ctrlProp61.xml" ContentType="application/vnd.ms-excel.controlproperties+xml"/>
  <Override PartName="/xl/drawings/drawing17.xml" ContentType="application/vnd.openxmlformats-officedocument.drawing+xml"/>
  <Override PartName="/xl/ctrlProps/ctrlProp62.xml" ContentType="application/vnd.ms-excel.controlproperties+xml"/>
  <Override PartName="/xl/drawings/drawing18.xml" ContentType="application/vnd.openxmlformats-officedocument.drawing+xml"/>
  <Override PartName="/xl/ctrlProps/ctrlProp63.xml" ContentType="application/vnd.ms-excel.controlproperties+xml"/>
  <Override PartName="/xl/drawings/drawing19.xml" ContentType="application/vnd.openxmlformats-officedocument.drawing+xml"/>
  <Override PartName="/xl/ctrlProps/ctrlProp64.xml" ContentType="application/vnd.ms-excel.controlproperties+xml"/>
  <Override PartName="/xl/drawings/drawing20.xml" ContentType="application/vnd.openxmlformats-officedocument.drawing+xml"/>
  <Override PartName="/xl/ctrlProps/ctrlProp65.xml" ContentType="application/vnd.ms-excel.controlproperties+xml"/>
  <Override PartName="/xl/drawings/drawing21.xml" ContentType="application/vnd.openxmlformats-officedocument.drawing+xml"/>
  <Override PartName="/xl/ctrlProps/ctrlProp66.xml" ContentType="application/vnd.ms-excel.controlproperties+xml"/>
  <Override PartName="/xl/drawings/drawing22.xml" ContentType="application/vnd.openxmlformats-officedocument.drawing+xml"/>
  <Override PartName="/xl/ctrlProps/ctrlProp6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vym\Desktop\"/>
    </mc:Choice>
  </mc:AlternateContent>
  <xr:revisionPtr revIDLastSave="0" documentId="13_ncr:1_{495F5BC4-C897-448C-ACDE-B90DD1DE54CA}" xr6:coauthVersionLast="47" xr6:coauthVersionMax="47" xr10:uidLastSave="{00000000-0000-0000-0000-000000000000}"/>
  <bookViews>
    <workbookView xWindow="-24120" yWindow="-120" windowWidth="24240" windowHeight="13140" tabRatio="894" firstSheet="12" activeTab="25" xr2:uid="{00000000-000D-0000-FFFF-FFFF00000000}"/>
  </bookViews>
  <sheets>
    <sheet name="MEP e NE" sheetId="1" r:id="rId1"/>
    <sheet name="Planilha 2" sheetId="45" r:id="rId2"/>
    <sheet name="Localização Prep. Tintas" sheetId="40" r:id="rId3"/>
    <sheet name="Localização Almoxarifado" sheetId="42" state="hidden" r:id="rId4"/>
    <sheet name="Etiquetas" sheetId="41" r:id="rId5"/>
    <sheet name="PRINCIPAL" sheetId="20" r:id="rId6"/>
    <sheet name="MEP 10-031" sheetId="24" r:id="rId7"/>
    <sheet name="MEP 10-053" sheetId="26" r:id="rId8"/>
    <sheet name="MEP 10-075" sheetId="27" r:id="rId9"/>
    <sheet name="MEP 10-075 (2)" sheetId="28" r:id="rId10"/>
    <sheet name="MEP 10-069" sheetId="22" r:id="rId11"/>
    <sheet name="MEP 10-059" sheetId="23" r:id="rId12"/>
    <sheet name="MEP 10-069 (2)" sheetId="9" r:id="rId13"/>
    <sheet name="Planilha1" sheetId="21" state="hidden" r:id="rId14"/>
    <sheet name="MEP 10-053 (2)" sheetId="29" r:id="rId15"/>
    <sheet name="MEP 10-070" sheetId="30" r:id="rId16"/>
    <sheet name="MEP 10-071" sheetId="31" r:id="rId17"/>
    <sheet name="Planilha3" sheetId="3" state="hidden" r:id="rId18"/>
    <sheet name="MEP 10-073" sheetId="32" r:id="rId19"/>
    <sheet name="Canceled" sheetId="33" state="hidden" r:id="rId20"/>
    <sheet name="MEP 10-105" sheetId="34" r:id="rId21"/>
    <sheet name="MEP 10-117" sheetId="35" r:id="rId22"/>
    <sheet name="MEP 10-118" sheetId="36" r:id="rId23"/>
    <sheet name="MEP 10-069 (PPG)" sheetId="38" r:id="rId24"/>
    <sheet name="Controle de Revisão" sheetId="39" r:id="rId25"/>
    <sheet name="MEP 10-077" sheetId="46" r:id="rId26"/>
    <sheet name="MEP 10-129" sheetId="37" state="hidden" r:id="rId27"/>
  </sheets>
  <definedNames>
    <definedName name="_xlnm._FilterDatabase" localSheetId="3" hidden="1">'Localização Almoxarifado'!$A$1:$B$158</definedName>
    <definedName name="_xlnm._FilterDatabase" localSheetId="0" hidden="1">'MEP e NE'!$A$2:$D$148</definedName>
    <definedName name="_xlnm._FilterDatabase" localSheetId="13" hidden="1">Planilha1!#REF!</definedName>
    <definedName name="_xlnm.Print_Area" localSheetId="19">Canceled!$A$1:$K$41</definedName>
    <definedName name="_xlnm.Print_Area" localSheetId="6">'MEP 10-031'!$A$1:$Q$24</definedName>
    <definedName name="_xlnm.Print_Area" localSheetId="7">'MEP 10-053'!$A$1:$S$25</definedName>
    <definedName name="_xlnm.Print_Area" localSheetId="14">'MEP 10-053 (2)'!$A$1:$Q$24</definedName>
    <definedName name="_xlnm.Print_Area" localSheetId="11">'MEP 10-059'!$A$1:$S$25</definedName>
    <definedName name="_xlnm.Print_Area" localSheetId="10">'MEP 10-069'!$A$1:$K$31</definedName>
    <definedName name="_xlnm.Print_Area" localSheetId="12">'MEP 10-069 (2)'!$A$1:$U$32</definedName>
    <definedName name="_xlnm.Print_Area" localSheetId="23">'MEP 10-069 (PPG)'!$A$1:$U$30</definedName>
    <definedName name="_xlnm.Print_Area" localSheetId="15">'MEP 10-070'!$A$1:$R$31</definedName>
    <definedName name="_xlnm.Print_Area" localSheetId="16">'MEP 10-071'!$A$1:$T$32</definedName>
    <definedName name="_xlnm.Print_Area" localSheetId="18">'MEP 10-073'!#REF!</definedName>
    <definedName name="_xlnm.Print_Area" localSheetId="8">'MEP 10-075'!$A$1:$Q$25</definedName>
    <definedName name="_xlnm.Print_Area" localSheetId="9">'MEP 10-075 (2)'!$A$1:$Q$23</definedName>
    <definedName name="_xlnm.Print_Area" localSheetId="25">'MEP 10-077'!$A$1:$S$25</definedName>
    <definedName name="_xlnm.Print_Area" localSheetId="20">'MEP 10-105'!$A$1:$P$29</definedName>
    <definedName name="_xlnm.Print_Area" localSheetId="21">'MEP 10-117'!$A$1:$P$31</definedName>
    <definedName name="_xlnm.Print_Area" localSheetId="22">'MEP 10-118'!$A$1:$R$23</definedName>
    <definedName name="_xlnm.Print_Area" localSheetId="26">'MEP 10-129'!$A$1:$K$41</definedName>
    <definedName name="_xlnm.Print_Area" localSheetId="0">'MEP e NE'!$A$1:$D$128</definedName>
    <definedName name="_xlnm.Print_Titles" localSheetId="2">'Localização Prep. Tintas'!$1:$1</definedName>
    <definedName name="_xlnm.Print_Titles" localSheetId="0">'MEP e NE'!$1:$2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H9" i="32" l="1"/>
  <c r="GB7" i="32"/>
  <c r="E17" i="40"/>
  <c r="C22" i="20"/>
  <c r="GZ16" i="32" l="1"/>
  <c r="GY16" i="32"/>
  <c r="GX16" i="32"/>
  <c r="GZ15" i="32"/>
  <c r="GY15" i="32"/>
  <c r="GX15" i="32"/>
  <c r="GZ14" i="32"/>
  <c r="GY14" i="32"/>
  <c r="GX14" i="32"/>
  <c r="GZ13" i="32"/>
  <c r="GY13" i="32"/>
  <c r="GX13" i="32"/>
  <c r="GZ12" i="32"/>
  <c r="GY12" i="32"/>
  <c r="GX12" i="32"/>
  <c r="GZ11" i="32"/>
  <c r="GY11" i="32"/>
  <c r="GX11" i="32"/>
  <c r="GZ10" i="32"/>
  <c r="GY10" i="32"/>
  <c r="GX10" i="32"/>
  <c r="GZ9" i="32"/>
  <c r="GY9" i="32"/>
  <c r="GX9" i="32"/>
  <c r="GZ8" i="32"/>
  <c r="GY8" i="32"/>
  <c r="GX8" i="32"/>
  <c r="GZ7" i="32"/>
  <c r="GY7" i="32"/>
  <c r="GX7" i="32"/>
  <c r="EO8" i="32"/>
  <c r="EP8" i="32"/>
  <c r="EQ8" i="32"/>
  <c r="EO9" i="32"/>
  <c r="EP9" i="32"/>
  <c r="EQ9" i="32"/>
  <c r="EO10" i="32"/>
  <c r="EP10" i="32"/>
  <c r="EQ10" i="32"/>
  <c r="EO11" i="32"/>
  <c r="EP11" i="32"/>
  <c r="EQ11" i="32"/>
  <c r="EO12" i="32"/>
  <c r="EP12" i="32"/>
  <c r="EQ12" i="32"/>
  <c r="EO13" i="32"/>
  <c r="EP13" i="32"/>
  <c r="EQ13" i="32"/>
  <c r="EO14" i="32"/>
  <c r="EP14" i="32"/>
  <c r="EQ14" i="32"/>
  <c r="EO15" i="32"/>
  <c r="EP15" i="32"/>
  <c r="EQ15" i="32"/>
  <c r="EO16" i="32"/>
  <c r="EP16" i="32"/>
  <c r="EQ16" i="32"/>
  <c r="EQ7" i="32"/>
  <c r="EP7" i="32"/>
  <c r="EO7" i="32"/>
  <c r="DV16" i="32"/>
  <c r="DV15" i="32"/>
  <c r="DV14" i="32"/>
  <c r="DV13" i="32"/>
  <c r="DV12" i="32"/>
  <c r="DV11" i="32"/>
  <c r="DV10" i="32"/>
  <c r="DV9" i="32"/>
  <c r="DV8" i="32"/>
  <c r="DV7" i="32"/>
  <c r="GB8" i="32"/>
  <c r="GB9" i="32"/>
  <c r="GB10" i="32"/>
  <c r="GB11" i="32"/>
  <c r="GB12" i="32"/>
  <c r="GB13" i="32"/>
  <c r="GB14" i="32"/>
  <c r="GB15" i="32"/>
  <c r="GB16" i="32"/>
  <c r="CH8" i="32"/>
  <c r="CH10" i="32"/>
  <c r="CH11" i="32"/>
  <c r="CH12" i="32"/>
  <c r="CH13" i="32"/>
  <c r="CH14" i="32"/>
  <c r="CH15" i="32"/>
  <c r="CH16" i="32"/>
  <c r="CH7" i="32"/>
  <c r="C10" i="20" l="1"/>
  <c r="D2" i="40"/>
  <c r="D3" i="40"/>
  <c r="D4" i="40"/>
  <c r="D5" i="40"/>
  <c r="D6" i="40"/>
  <c r="D7" i="40"/>
  <c r="D8" i="40"/>
  <c r="D9" i="40"/>
  <c r="D10" i="40"/>
  <c r="D13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89" i="40"/>
  <c r="D90" i="40"/>
  <c r="D91" i="40"/>
  <c r="D92" i="40"/>
  <c r="D93" i="40"/>
  <c r="D94" i="40"/>
  <c r="D95" i="40"/>
  <c r="D96" i="40"/>
  <c r="D97" i="40"/>
  <c r="D98" i="40"/>
  <c r="D99" i="40"/>
  <c r="D100" i="40"/>
  <c r="D101" i="40"/>
  <c r="D102" i="40"/>
  <c r="D103" i="40"/>
  <c r="D104" i="40"/>
  <c r="D105" i="40"/>
  <c r="D106" i="40"/>
  <c r="D107" i="40"/>
  <c r="D108" i="40"/>
  <c r="D109" i="40"/>
  <c r="D110" i="40"/>
  <c r="D111" i="40"/>
  <c r="D112" i="40"/>
  <c r="D113" i="40"/>
  <c r="D114" i="40"/>
  <c r="D115" i="40"/>
  <c r="D116" i="40"/>
  <c r="D117" i="40"/>
  <c r="D118" i="40"/>
  <c r="D119" i="40"/>
  <c r="D120" i="40"/>
  <c r="D121" i="40"/>
  <c r="D122" i="40"/>
  <c r="D123" i="40"/>
  <c r="D124" i="40"/>
  <c r="D125" i="40"/>
  <c r="D126" i="40"/>
  <c r="D127" i="40"/>
  <c r="D128" i="40"/>
  <c r="D129" i="40"/>
  <c r="D130" i="40"/>
  <c r="D131" i="40"/>
  <c r="D132" i="40"/>
  <c r="D133" i="40"/>
  <c r="D134" i="40"/>
  <c r="D135" i="40"/>
  <c r="D136" i="40"/>
  <c r="D137" i="40"/>
  <c r="D138" i="40"/>
  <c r="D139" i="40"/>
  <c r="D140" i="40"/>
  <c r="D141" i="40"/>
  <c r="D142" i="40"/>
  <c r="D143" i="40"/>
  <c r="D144" i="40"/>
  <c r="D145" i="40"/>
  <c r="D146" i="40"/>
  <c r="D147" i="40"/>
  <c r="D148" i="40"/>
  <c r="D149" i="40"/>
  <c r="D150" i="40"/>
  <c r="D151" i="40"/>
  <c r="D152" i="40"/>
  <c r="D153" i="40"/>
  <c r="D154" i="40"/>
  <c r="D155" i="40"/>
  <c r="D156" i="40"/>
  <c r="D157" i="40"/>
  <c r="D158" i="40"/>
  <c r="D159" i="40"/>
  <c r="D160" i="40"/>
  <c r="D161" i="40"/>
  <c r="D162" i="40"/>
  <c r="D163" i="40"/>
  <c r="D164" i="40"/>
  <c r="D165" i="40"/>
  <c r="D166" i="40"/>
  <c r="D167" i="40"/>
  <c r="D168" i="40"/>
  <c r="D169" i="40"/>
  <c r="C18" i="20" l="1"/>
  <c r="O8" i="28"/>
  <c r="P8" i="28"/>
  <c r="Q8" i="28"/>
  <c r="O9" i="28"/>
  <c r="P9" i="28"/>
  <c r="Q9" i="28"/>
  <c r="O10" i="28"/>
  <c r="P10" i="28"/>
  <c r="Q10" i="28"/>
  <c r="O11" i="28"/>
  <c r="P11" i="28"/>
  <c r="Q11" i="28"/>
  <c r="O12" i="28"/>
  <c r="P12" i="28"/>
  <c r="Q12" i="28"/>
  <c r="O13" i="28"/>
  <c r="P13" i="28"/>
  <c r="Q13" i="28"/>
  <c r="O14" i="28"/>
  <c r="P14" i="28"/>
  <c r="Q14" i="28"/>
  <c r="O15" i="28"/>
  <c r="P15" i="28"/>
  <c r="Q15" i="28"/>
  <c r="O16" i="28"/>
  <c r="P16" i="28"/>
  <c r="Q16" i="28"/>
  <c r="Q7" i="28"/>
  <c r="O7" i="28"/>
  <c r="Q8" i="27" l="1"/>
  <c r="Q9" i="27"/>
  <c r="Q10" i="27"/>
  <c r="Q11" i="27"/>
  <c r="Q12" i="27"/>
  <c r="Q13" i="27"/>
  <c r="Q14" i="27"/>
  <c r="Q15" i="27"/>
  <c r="Q16" i="27"/>
  <c r="P8" i="27"/>
  <c r="P9" i="27"/>
  <c r="P10" i="27"/>
  <c r="P11" i="27"/>
  <c r="P12" i="27"/>
  <c r="P13" i="27"/>
  <c r="P14" i="27"/>
  <c r="P15" i="27"/>
  <c r="P16" i="27"/>
  <c r="O8" i="27"/>
  <c r="O9" i="27"/>
  <c r="O10" i="27"/>
  <c r="O11" i="27"/>
  <c r="O12" i="27"/>
  <c r="O13" i="27"/>
  <c r="O14" i="27"/>
  <c r="O15" i="27"/>
  <c r="O16" i="27"/>
  <c r="Q7" i="27"/>
  <c r="P7" i="27"/>
  <c r="O7" i="27"/>
  <c r="Q8" i="24"/>
  <c r="Q9" i="24"/>
  <c r="Q10" i="24"/>
  <c r="Q11" i="24"/>
  <c r="Q12" i="24"/>
  <c r="Q13" i="24"/>
  <c r="Q14" i="24"/>
  <c r="Q15" i="24"/>
  <c r="Q16" i="24"/>
  <c r="Q17" i="24"/>
  <c r="Q18" i="24"/>
  <c r="Q19" i="24"/>
  <c r="Q20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Q7" i="24"/>
  <c r="P7" i="24"/>
  <c r="O7" i="24"/>
  <c r="P7" i="28"/>
  <c r="Q16" i="33" l="1"/>
  <c r="P16" i="33"/>
  <c r="Q15" i="33"/>
  <c r="P15" i="33"/>
  <c r="Q14" i="33"/>
  <c r="P14" i="33"/>
  <c r="Q13" i="33"/>
  <c r="P13" i="33"/>
  <c r="Q12" i="33"/>
  <c r="P12" i="33"/>
  <c r="Q11" i="33"/>
  <c r="P11" i="33"/>
  <c r="Q10" i="33"/>
  <c r="P10" i="33"/>
  <c r="Q9" i="33"/>
  <c r="P9" i="33"/>
  <c r="Q8" i="33"/>
  <c r="P8" i="33"/>
  <c r="Q7" i="33"/>
  <c r="P7" i="33"/>
  <c r="G12" i="3" l="1"/>
  <c r="H12" i="3"/>
  <c r="K6" i="3" l="1"/>
</calcChain>
</file>

<file path=xl/sharedStrings.xml><?xml version="1.0" encoding="utf-8"?>
<sst xmlns="http://schemas.openxmlformats.org/spreadsheetml/2006/main" count="3171" uniqueCount="715">
  <si>
    <t>RELAÇÃO DE TINTAS / PRIMER / SOLVENTES</t>
  </si>
  <si>
    <t>Código</t>
  </si>
  <si>
    <t>Descrição Sistema Tecplas</t>
  </si>
  <si>
    <t>Descrição Portal Embraer</t>
  </si>
  <si>
    <t>Norma</t>
  </si>
  <si>
    <t xml:space="preserve">Diluição </t>
  </si>
  <si>
    <t>Pot life / hs</t>
  </si>
  <si>
    <t>Proporção</t>
  </si>
  <si>
    <t>Flahs off</t>
  </si>
  <si>
    <t>Cure</t>
  </si>
  <si>
    <t>TINTA PRIMER MONOCOMPONENTE CINZA</t>
  </si>
  <si>
    <t>PRIMER MONOCOMPONENTE CINZA</t>
  </si>
  <si>
    <t>Ultimo Registro 2012</t>
  </si>
  <si>
    <t>TINTA POLIURETANO BRANCA</t>
  </si>
  <si>
    <t>TINTA,POLIURETANO, BRANCO UK2298</t>
  </si>
  <si>
    <t>AERODUR C21/100</t>
  </si>
  <si>
    <t>CDSP9000</t>
  </si>
  <si>
    <t>Ultimo Registro2009</t>
  </si>
  <si>
    <t>PRIMER</t>
  </si>
  <si>
    <t>PRIMER ADESIVO,ACRILICO,SAFETY WALK</t>
  </si>
  <si>
    <t>MEP09-076</t>
  </si>
  <si>
    <t>primer descontinuado no DIP</t>
  </si>
  <si>
    <t>Item inativo</t>
  </si>
  <si>
    <t>TINTA</t>
  </si>
  <si>
    <t>TINTA,POLIURETANO,BRANCO FOSCO-FS595-37875</t>
  </si>
  <si>
    <t>MEP10-031 =10-073</t>
  </si>
  <si>
    <t xml:space="preserve">VISCOSITY AT 20ºC (DIN CUP 4)MAX 40 - 48
                  </t>
  </si>
  <si>
    <t>15% WATER TO OBTAIN</t>
  </si>
  <si>
    <t xml:space="preserve">POT LIFE AT 20ºC / 5 A 6 </t>
  </si>
  <si>
    <t>BASE: 30 / HARDENER: 10 / WATER: 6</t>
  </si>
  <si>
    <t>TACK FREE   40 minutos (DRYING TIME
(22°C, 55% RH))</t>
  </si>
  <si>
    <t>TINTA,POLIURETANO, CINZA FS595-36231</t>
  </si>
  <si>
    <t>TINTA,POLIURETANO,PRETO FS595-37038</t>
  </si>
  <si>
    <t>TINTA,POLIURETANO,VERMELHO-FS595-11136</t>
  </si>
  <si>
    <t>TINTA POLIURETANO</t>
  </si>
  <si>
    <t>TINTA A BASE DE POLIURETANO</t>
  </si>
  <si>
    <t>TINTA,POLIURETANO, VERMELHO, FS595-11136</t>
  </si>
  <si>
    <t>TINTA A BASE POLIURET</t>
  </si>
  <si>
    <t>TINTA,POLIURETANO,CINZA ESCURO-FOSCO,PADRAO EMBRAER</t>
  </si>
  <si>
    <t>TINTA POLIURETANO BRANCO FOSCO</t>
  </si>
  <si>
    <t>TINTA,POLIURETANO,MARFIM-FOSCO,PADRAO EMBRAER</t>
  </si>
  <si>
    <t>TINTA, POLIURETANO, MARFIM-SEMIBRILHANTE</t>
  </si>
  <si>
    <t>TINTA,POLIURETANO,MARFIM-SEMIBRILHANTE,PADRAO EMBRAER</t>
  </si>
  <si>
    <t>TINTA POLIURETANO, VERMELHO FS595</t>
  </si>
  <si>
    <t>TINTA PU BRANCA</t>
  </si>
  <si>
    <t>TINTA PU MARFIM</t>
  </si>
  <si>
    <t>TINTA PRETA PU</t>
  </si>
  <si>
    <t>TINTA EPOXI: ANTIESTÁTICA, TIPO II</t>
  </si>
  <si>
    <t>TINTA,EPOXI, ANTIESTATICA, TIPO I</t>
  </si>
  <si>
    <t>MEP10-053</t>
  </si>
  <si>
    <t xml:space="preserve">VISCOSITY (NO. 4 FORD CUP AT 25°C)16 ± 2
</t>
  </si>
  <si>
    <t>(1) If necessary dilution, use solvent DP 033 (E2182117).</t>
  </si>
  <si>
    <t>POT LIFE AT 23°C ± 2°C (75°F ± 5°F)
MAX       4h</t>
  </si>
  <si>
    <t>1:1</t>
  </si>
  <si>
    <t>DRY TO TOUCH (MAX) 30 minutos</t>
  </si>
  <si>
    <t>TINTA EPOXI</t>
  </si>
  <si>
    <t>TINTA,EPOXI, ANTI-ESTATICA,TIPO II</t>
  </si>
  <si>
    <t>VISCOSITY (NO. 4 FORD CUP AT 25°C) 15 ± 3</t>
  </si>
  <si>
    <r>
      <t xml:space="preserve">       </t>
    </r>
    <r>
      <rPr>
        <b/>
        <sz val="7"/>
        <color theme="1"/>
        <rFont val="Calibri"/>
        <family val="2"/>
        <scheme val="minor"/>
      </rPr>
      <t xml:space="preserve">              N/A</t>
    </r>
  </si>
  <si>
    <t>POT LIFE AT 23°C ± 2°C (75°F ± 5°F)   MAX 4H</t>
  </si>
  <si>
    <t>3:1</t>
  </si>
  <si>
    <t>DRY TO TOUCH (MAX) 15 minutos</t>
  </si>
  <si>
    <t>TINTA EPOXI ANTIESTATICA</t>
  </si>
  <si>
    <t>VISCOSITY (NO. 4 FORD CUP AT 25°C)16 ± 2</t>
  </si>
  <si>
    <t xml:space="preserve">(1) If necessary dilution, use solvent DP 033 (E2182117).       </t>
  </si>
  <si>
    <t>TINTA EPOXI ANTI-ESTATICA, TIPO II</t>
  </si>
  <si>
    <t>PRIMER EPOXI VERDE TIPO II</t>
  </si>
  <si>
    <t>PRIMER,EPOXI,VERDE BAC452-TIPO II</t>
  </si>
  <si>
    <t>MEP10-059</t>
  </si>
  <si>
    <t xml:space="preserve">ZAHN CUP 15 TO 19 WITH A NO. 2 ZAHN CUP
WHEN MIXED WITH CATALYST                   FORD CUP (NO. 4) 5 TO 6 SEGUNDOS </t>
  </si>
  <si>
    <t>N/A</t>
  </si>
  <si>
    <t>POT LIFE AT 25°C (77°F) MIN     8hs</t>
  </si>
  <si>
    <t>TACK FREE - 2h (MAX)</t>
  </si>
  <si>
    <t>TINTA A BASE DE EPOXI CERAMICA</t>
  </si>
  <si>
    <t>TINTA,EPOXI,PRETA FOSCA,CERAMICA</t>
  </si>
  <si>
    <t>MEP10-065</t>
  </si>
  <si>
    <t>VISCOSITY  900 TO 1500 Centi poise(não mensiona copo)</t>
  </si>
  <si>
    <t>POT LIFE AT 22,2°C (72°F) 4 a 6 hs</t>
  </si>
  <si>
    <t>12por 1 PARTS BY VOLUME</t>
  </si>
  <si>
    <t>CURING TIME A TWO PASS FILM OF
6 - 8mils (150 - 200mm) AT 22,2°C (72°F) 3hs</t>
  </si>
  <si>
    <t>TINTA,POLIURETANO HS, PRETO FOSCO F</t>
  </si>
  <si>
    <t>TINTA,POLIURETANO HS, PRETO FOSCO FS595-37038</t>
  </si>
  <si>
    <t>MEP10-069</t>
  </si>
  <si>
    <t>viscosidade c) 18 – 27s, ZAHN CUP #2 max 35sVISCOSIDADE,  misturado entre 23 e 25 ° C (77 ± 2 ° F) 
Deixe o material misturado repousar 15 minutos antes de medir a viscosidade.)</t>
  </si>
  <si>
    <t>Pot Life 2hs Max.21 to 26°C (70 to 80°F) for the pot life time ±0,2</t>
  </si>
  <si>
    <t>verificar tack free , não ficou claro</t>
  </si>
  <si>
    <t>TINTA HS POLIURETANO PRETA BAC 701</t>
  </si>
  <si>
    <t>viscisidade: 17 – 23s, ZAHN CUP #2 max 30sVISCOSIDADE,  misturado entre 23 e 25 ° C (77 ± 2 ° F) 
Deixe o material misturado repousar 15 minutos antes de medir a viscosidade.)</t>
  </si>
  <si>
    <t>Pot Life 3hs Max.21 to 26°C (70 to 80°F) for the pot life time ±0,2</t>
  </si>
  <si>
    <t>2:1:1</t>
  </si>
  <si>
    <t>TINTA,POLIURETANO HS, BASE VERMELHO MEDIO BS</t>
  </si>
  <si>
    <t>sem cadastro na tecplas</t>
  </si>
  <si>
    <t>TINTA,POLIURETANO HS, BASE VERMELHO OXIDO</t>
  </si>
  <si>
    <r>
      <rPr>
        <b/>
        <sz val="6"/>
        <color theme="1"/>
        <rFont val="Calibri"/>
        <family val="2"/>
        <scheme val="minor"/>
      </rPr>
      <t xml:space="preserve">Estoque zero, necessário saber se a tinta é GLOSS , SEMI GLOSS , FLAT </t>
    </r>
    <r>
      <rPr>
        <sz val="6"/>
        <color theme="1"/>
        <rFont val="Calibri"/>
        <family val="2"/>
        <scheme val="minor"/>
      </rPr>
      <t xml:space="preserve"> </t>
    </r>
  </si>
  <si>
    <t>TINTA A BASE DE POLUIRETANO</t>
  </si>
  <si>
    <t>TINTA,POLIURETANO HS, BASE VERMELHO CLEAN BS</t>
  </si>
  <si>
    <t xml:space="preserve">Estoque zero, necessário saber se a tinta é GLOSS , SEMI GLOSS , FLAT  </t>
  </si>
  <si>
    <t>TINTA,POLIURETANO HS, BASE BRANCA</t>
  </si>
  <si>
    <t>TINTA,POLIURETANO HS, CINZA, BAC 707 ( PADRÃO EMBRAER)</t>
  </si>
  <si>
    <t>viscosidade c) 17 – 23s, ZAHN CUP #2 max 30s   misturado entre 23 e 25 ° C (77 ± 2 ° F) 
Deixe o material misturado repousar 15 minutos antes de medir a viscosidade.)</t>
  </si>
  <si>
    <t>Pot Life 4hs Max. 21 to 26°C (70 to 80°F) for the pot life time ±0,2</t>
  </si>
  <si>
    <t>TINTA,POLIURETANO HS, BRILHANTE, LARANJA, FS12246 (GLOSS)</t>
  </si>
  <si>
    <t>viscisidade: 17 – 23s, ZAHN CUP #2 max 30s 23 to 25°C (77 ± 2°F)misturado entre 23 e 25 ° C (77 ± 2 ° F) 
Deixe o material misturado repousar 15 minutos antes de medir a viscosidade.)</t>
  </si>
  <si>
    <r>
      <rPr>
        <sz val="7"/>
        <color theme="1"/>
        <rFont val="Calibri"/>
        <family val="2"/>
        <scheme val="minor"/>
      </rPr>
      <t xml:space="preserve"> C</t>
    </r>
    <r>
      <rPr>
        <b/>
        <sz val="7"/>
        <color theme="1"/>
        <rFont val="Calibri"/>
        <family val="2"/>
        <scheme val="minor"/>
      </rPr>
      <t>ure for 16h minimum at 15 to 32°C (60 to 90°F);</t>
    </r>
  </si>
  <si>
    <t>cure for 16h minimum at 15 to 32°C (60 to 90°F);</t>
  </si>
  <si>
    <t>TINTA,POLIURETANO HS,CINZA,REF PMS 421C</t>
  </si>
  <si>
    <t>16/02/2009 Ultimo registro</t>
  </si>
  <si>
    <t>TINTA,POLIURETANO HS, SNOW WHITE EMBRAER</t>
  </si>
  <si>
    <t>VISCOSIDADE  a) 17 – 23s, Determine a viscosidade do material misturado entre 23 e 25 ° C (77 ± 2 ° F) usando um Zahn no. 2 copo. Deixe o material misturado repousar 15 minutos antes de medir a viscosidade. (30 seconds (MAX) at pot life.)</t>
  </si>
  <si>
    <t>TINTA,POLIURETANO HS, PRATA METALICA, FS595-17178</t>
  </si>
  <si>
    <t>Determine a viscosidade do material misturado entre 23 e 25 ° C (77 ± 2 ° F) usando um Zahn no. 2 copo. Deixe o material misturado repousar 15 minutos antes de medir a viscosidade.</t>
  </si>
  <si>
    <r>
      <rPr>
        <b/>
        <sz val="11"/>
        <color theme="1"/>
        <rFont val="Calibri"/>
        <family val="2"/>
        <scheme val="minor"/>
      </rPr>
      <t>Na lata não mostra se é Gloss , semi gloss , flat</t>
    </r>
    <r>
      <rPr>
        <sz val="11"/>
        <color theme="1"/>
        <rFont val="Calibri"/>
        <family val="2"/>
        <scheme val="minor"/>
      </rPr>
      <t xml:space="preserve"> </t>
    </r>
  </si>
  <si>
    <t>TINTA POLIRUETANO</t>
  </si>
  <si>
    <t>TINTA,POLIURETANO HS, CINZA BAC 707-715004</t>
  </si>
  <si>
    <t>17 – 23s, ZAHN CUP #2 Determine a viscosidade do material misturado entre 23 e 25 ° C (77 ± 2 ° F) usando um Zahn no. 2 copo. Deixe o material misturado repousar 15 minutos antes de medir a viscosidade. (30 seconds (MAX) at pot life.)</t>
  </si>
  <si>
    <t>18/09/2013 ultimo resgistro</t>
  </si>
  <si>
    <t>TINTA PU HIGH SOLIDS</t>
  </si>
  <si>
    <t>TINTA,POLIURETANO HS, ECLIPSE BRANCO BAC 70317</t>
  </si>
  <si>
    <t>TINTA,POLIURETANO HS, BRILHANTE, CINZA FS595-16492</t>
  </si>
  <si>
    <t>Pot Life 3hs Max. 21 to 26°C (70 to 80°F) for the pot life time ±0,2</t>
  </si>
  <si>
    <t>TINTA,POLIURETANO HS,BRANCO-FS595-17875(B) - 715293</t>
  </si>
  <si>
    <t>TINTA,POLIURETANO HS, BRANCO BAC 70317</t>
  </si>
  <si>
    <t>Pot Life 4hs Max.21 to 26°C (70 to 80°F) for the pot life time ±0,2</t>
  </si>
  <si>
    <t>VERNIZ A BASE DE POLIURETANO-POLIMERO SINTÉTICO</t>
  </si>
  <si>
    <t>VERNIZ,POLIURETANO HS,INCOLOR</t>
  </si>
  <si>
    <t>TINTA POLIURETANO H.S. BRANCO</t>
  </si>
  <si>
    <t>01/02/2008 Ultimo registro</t>
  </si>
  <si>
    <t>TINTA PRIMER EPOXI</t>
  </si>
  <si>
    <t>PRIMER,EPOXI,SEM CROMATO,PINTURA MATERIAL COMPOSTO</t>
  </si>
  <si>
    <t>MEP10-070</t>
  </si>
  <si>
    <t xml:space="preserve">Viscosidade (25ºC / 77ºF) 19-27 seconds Ford #4 (without thinner)(50 seconds max. Ford #4)
Pot life will be shortened with the addition of IM-253, </t>
  </si>
  <si>
    <t>ATÉ UMA PARTE DE SOLVERNTE</t>
  </si>
  <si>
    <t xml:space="preserve">Pot Life 3hs. (25ºC/77ºF)  </t>
  </si>
  <si>
    <t>3:1   OPCIONAL: Até 1 parte TR-102 ou TR-114 pode ser adicionada
para melhorar o fluxo.</t>
  </si>
  <si>
    <t xml:space="preserve">Tempos de Secagem de acordo com
AITM 2-0011 (25 +/- 2ºC / 77
+/- 2ºF, 55 +/- 5% RH) 1 hour </t>
  </si>
  <si>
    <t xml:space="preserve">O tempo de secagem será reduzido com a adição de IM-253, relativo à temperatura ambiente
temperatura e umidade. 2 horas mínimas, 24 horas máx. 25 +/- 2ºC / 77
+/- 2ºF, 55 +/- 5% RH) </t>
  </si>
  <si>
    <t>TINTA EPOXI PRIMER NOVO</t>
  </si>
  <si>
    <r>
      <rPr>
        <b/>
        <sz val="7"/>
        <color theme="1"/>
        <rFont val="Calibri"/>
        <family val="2"/>
        <scheme val="minor"/>
      </rPr>
      <t>Pot Life 3hs. (25ºC/77ºF)</t>
    </r>
    <r>
      <rPr>
        <sz val="11"/>
        <color theme="1"/>
        <rFont val="Calibri"/>
        <family val="2"/>
        <scheme val="minor"/>
      </rPr>
      <t xml:space="preserve">  </t>
    </r>
  </si>
  <si>
    <t>TINTA BASE POLIURETANO</t>
  </si>
  <si>
    <t>TINTA BRANCA C/ CARGA PTFE, BAC 700 / BAC 7067</t>
  </si>
  <si>
    <t>MEP10-071</t>
  </si>
  <si>
    <t>At 77F (25°C): Mix Viscosity: 15-27 seconds Signature Zahn-Cup #3</t>
  </si>
  <si>
    <t>Pot life: 2 hours At 77F (25°C)</t>
  </si>
  <si>
    <t>MIXING RATIO 23T3 SERIES:- BASE:- 3 PARTS
ACTIVATOR:- PC 216: - 1 PART
THINNER: - TR-19 OR TR-20: - 1 PART</t>
  </si>
  <si>
    <t>TACK FREE 3,25 hs At 75 to 80F &amp; 50% RH</t>
  </si>
  <si>
    <t>5,25 hs At 75 to 80F &amp; 50% RH</t>
  </si>
  <si>
    <t>observações Induction Time: None required</t>
  </si>
  <si>
    <t>TINTA PRETA C/ CARGA PTFE, / BAC 701</t>
  </si>
  <si>
    <t>TINTA,POLIURETANO,BASE AGUA, CINZA FS 36231, INTERIOR</t>
  </si>
  <si>
    <t>MEP10-073</t>
  </si>
  <si>
    <t>VISCOSITY
AT 20ºC (DIN CUP 4) 40 - 48</t>
  </si>
  <si>
    <t>MAX 15% WATER TO OBTAIN</t>
  </si>
  <si>
    <t>POT LIFE AT 20ºC 5 TO 6 h</t>
  </si>
  <si>
    <t>BY WEIGHT
BASE: 30
HARDENER: 10
WATER: 6</t>
  </si>
  <si>
    <t>DRYING TIME
(22°C, 55% RH) TACK FREE 40 MIN</t>
  </si>
  <si>
    <t xml:space="preserve">           DRYING TIME
(22°C, 55% RH) FULL CURE 7</t>
  </si>
  <si>
    <t>TINTA,POLIURETANO, PRETO METALICO, INTERIOR</t>
  </si>
  <si>
    <t>TINTA,POLIURETANO,CINZA 36375-BASE AGUA,INTERIOR</t>
  </si>
  <si>
    <t>TINTA BRANCA</t>
  </si>
  <si>
    <t>TINTA,POLIURETANO,BASE AGUA,BRANCO 37875-BASE AGUA,INTERIOR</t>
  </si>
  <si>
    <t>TINTA PU, CINZA METALICO, BASE DAGUA</t>
  </si>
  <si>
    <t>TINTA,POLIURETANO,BASE AGUA, CINZA METALICO,INTERIOR</t>
  </si>
  <si>
    <t>TINTA POLIURETANO BASE D`AGUA CINZA</t>
  </si>
  <si>
    <t>TINTA, POLIURETANO, CINZA 36173 - BASE D'AGUA, PARA INTERIOR</t>
  </si>
  <si>
    <t>TINTA POLIURETANO A BASE D AGUA</t>
  </si>
  <si>
    <t>TINTA,PU,PRETA-BASE D'AGUA,PARA INTERIOR,37038</t>
  </si>
  <si>
    <t>TINTA POLIURETANO BRANCO</t>
  </si>
  <si>
    <t>TINTA A BASE DE POLIURETANO SINTETICO</t>
  </si>
  <si>
    <t>TINTA,POLIURETANO,BASE AGUA,MARFIM 27778-BASE AGUA,INTERIOR</t>
  </si>
  <si>
    <t>TINTA A BASE DE POLIURETANO CINZA</t>
  </si>
  <si>
    <t>TINTA,POLIURETANO, PANTONE 467C, FOSCO, INTERIOR</t>
  </si>
  <si>
    <t>TINTA POLIURETANO BASE D AGUA</t>
  </si>
  <si>
    <t>TINTA POLIURETANO, BASE AGUA, POLAR</t>
  </si>
  <si>
    <t>TINTA,POLIURETANO,BASE AGUA, POLAR 5815, INTERIOR</t>
  </si>
  <si>
    <t>tinta pu ivory</t>
  </si>
  <si>
    <t>TINTA,POLIURETANO,BASE AGUA,IVORY SIVAM, INTERIOR</t>
  </si>
  <si>
    <t>TINTA PU BASE DAGUA PARA INTERIOR</t>
  </si>
  <si>
    <t>TINTA PU BADE D'AGUA PARA INTERIOR, FS595B-20460</t>
  </si>
  <si>
    <t>TINTA CINZA</t>
  </si>
  <si>
    <t>TINTA,POLIURETANO,CINZA 36173-BASE D'AGUA,PARA INTERIOR</t>
  </si>
  <si>
    <t>TINTA PU PRETA</t>
  </si>
  <si>
    <t>TINTA,POLIURETANO,BASE AGUA, CINZA FS 36492, INTERIOR</t>
  </si>
  <si>
    <t>TINTA PRIMER BASE POLIURETANO</t>
  </si>
  <si>
    <t>PRIMER,BASE D'AGUA,BRANCO-PARA COMPOSTO, TIPO I</t>
  </si>
  <si>
    <t>MEP10-075</t>
  </si>
  <si>
    <t xml:space="preserve">            VISCOSITY
AT 20ºC (DIN CUP 4) 40 - 48 s</t>
  </si>
  <si>
    <t>MAX 10% WATER TO OBTAIN</t>
  </si>
  <si>
    <t>POT LIFE (±20°C) 3hs</t>
  </si>
  <si>
    <t>MIXING RATIO: BASE100   HARDENER 24 WATER36</t>
  </si>
  <si>
    <t>DRYING TIME,
AT 21 ± 2°C   SET TO
TOUCH   8 min
TACK FREE 10 min
DRY HARD 35 min
DRY THROUGH 120 min</t>
  </si>
  <si>
    <t>DRYING TIME,
AT 21 ± 2°C  FULL CURE 7 dias</t>
  </si>
  <si>
    <t>PRIMER,BASE D'AGUA,BRANCO-PARA COMPOSTO</t>
  </si>
  <si>
    <t xml:space="preserve">Item inativo 2012 </t>
  </si>
  <si>
    <t>TINTA PRIMER A BASE DE POLIURETANO</t>
  </si>
  <si>
    <t>PRIMER,BASE D'AGUA,BRANCO-PARA COMPOSTO, TIPO II</t>
  </si>
  <si>
    <t xml:space="preserve">                 VISCOSITY
AT 20ºC (DIN CUP 4) 40 - 48 s</t>
  </si>
  <si>
    <t>MAX 10% WATER        TO OBTAIN</t>
  </si>
  <si>
    <t>POT LIFE (±20°C) 2.5hs</t>
  </si>
  <si>
    <t>MIXING RATIO: BASE100   HARDENER 20 WATER15</t>
  </si>
  <si>
    <t xml:space="preserve">              DRYING TIME,
AT 21 ± 2°C  FULL CURE 7 dias</t>
  </si>
  <si>
    <t>PRIMER A BASE D´AGUA COR BRANCA</t>
  </si>
  <si>
    <t xml:space="preserve">                   VISCOSITY
AT 20ºC (DIN CUP 4) 40 - 48 s</t>
  </si>
  <si>
    <t>TINTA PRIMER</t>
  </si>
  <si>
    <t>TINTA,POLIURETANO, SERIGRAFIA, VERMELHO FOGO</t>
  </si>
  <si>
    <t>MEP10-084</t>
  </si>
  <si>
    <t>POT LIFE
(AT AMBIENT TEMPERATURE)
12 h</t>
  </si>
  <si>
    <t>MIXING RATIO:  Base90 : catal 10 OR 70 : 30</t>
  </si>
  <si>
    <t>TO TOUCH 10 - 15 min
HANDLING 24 - 48 h</t>
  </si>
  <si>
    <t>TOTAL CURE 7 d</t>
  </si>
  <si>
    <t>TINTA,POLIURETANO, SERIGRAFIA,BRANCA</t>
  </si>
  <si>
    <t>Ultimo registro 2014</t>
  </si>
  <si>
    <t>Ultimo registro 2013</t>
  </si>
  <si>
    <t>TINTA PARA SERIGRAFIA</t>
  </si>
  <si>
    <t>Ultimo registro 2007</t>
  </si>
  <si>
    <t>TINTA EPOXI ANTI DERRAPANTE</t>
  </si>
  <si>
    <t>MEP10-085</t>
  </si>
  <si>
    <t>TINTA,POLIURETANO, INTERIOR, BRANCO BRILHO T0315</t>
  </si>
  <si>
    <t>MEP10-099</t>
  </si>
  <si>
    <t>Ultimo registro 2008</t>
  </si>
  <si>
    <t>TINTA,SILICONE, RECOBRIMENTO ABLATIVO</t>
  </si>
  <si>
    <t>MEP10-105</t>
  </si>
  <si>
    <t>POT LIFE
AT 15 – 32°C (MIN)
1 h</t>
  </si>
  <si>
    <t>proporção de 100: 0,5 partes em peso para as misturas</t>
  </si>
  <si>
    <t>CURING TIME AT ROOM
TEMPERATURE (24°C)
(30% MIN RH) MIN
24 h</t>
  </si>
  <si>
    <t>TINTA PU HIGH SOLIDS, CINZA, FOSCO, FS 595-36176, TIPO II</t>
  </si>
  <si>
    <t>MEP10-117</t>
  </si>
  <si>
    <t xml:space="preserve">  VISCOSITY
AT 25°C (77°F) FORD CUP #4                                    30 (MAX) ZAHN CUP #2, 24 - 32 ISO CUP #4 40 - 70</t>
  </si>
  <si>
    <t>POT LIFE (MIN)4hs</t>
  </si>
  <si>
    <t>MIXING RATIO SEMI-GLOSS 3 : 1
(BASE :
HARDENER) INDUCTION N/A</t>
  </si>
  <si>
    <t>DRYING TIME
AT 25 ± 2°C  (77 ± 2°F)
AND 55 ± 5% RH DRY TO TOUCH 4hs FORCED DRYING AT 60°C
(140°F) AFTER 1h FLASH OFF</t>
  </si>
  <si>
    <t>TOTAL CURE (MIN) 168 hs</t>
  </si>
  <si>
    <t>TINTA POLIURETANO PRETA FS595-37038</t>
  </si>
  <si>
    <t>TINTA,POLIURETANO, PRETA FS595-37038, TIPO I</t>
  </si>
  <si>
    <t>VISCOSITY
AT 25°C (77°F) FORD CUP #4 15 - 30 ZAHN CUP #2 17 - 32    ISO CUP #4 25 - 75</t>
  </si>
  <si>
    <t>POT LIFE (MIN) 3hs</t>
  </si>
  <si>
    <t>MIXING RATIO SEMI-GLOSS 3 : 1
(BASE :
HARDENER) INDUCTION TIME 30</t>
  </si>
  <si>
    <t>TINTA DE POLIURETANO</t>
  </si>
  <si>
    <t>TINTA,POLIURETANO, CINZA FS595-36231, TIPO I</t>
  </si>
  <si>
    <t>NA</t>
  </si>
  <si>
    <t>TINTA,POLIURETANO HS, CINZA- EMBRAER GRAY 715942</t>
  </si>
  <si>
    <t>TINTA PU HIGH SOLIDS, BRANCA, FOSCO, FS595-37875, TIPO II</t>
  </si>
  <si>
    <t>TINTA PRIMER SEM CROMO</t>
  </si>
  <si>
    <t>PRIMER, SEM CROMO, BASE ÁGUA, P/ M. COMPOSTOS, SNOW WHITE</t>
  </si>
  <si>
    <t>MEP10-118</t>
  </si>
  <si>
    <t>VISCOSITY AT 21°C (70°F)
(ISO CUP #4) 35 - 65 s</t>
  </si>
  <si>
    <t>POT LIFE AT 21°C (70°F)
(MIN) 2 h</t>
  </si>
  <si>
    <t>MIXING RATIO
(% BY WEIGHT) 2,3:1</t>
  </si>
  <si>
    <t>DUST FREE - 30min (MAX)
DRY THROUGH - 1 TO 72h (MAX)</t>
  </si>
  <si>
    <t xml:space="preserve">FINAL CURE: 7d </t>
  </si>
  <si>
    <t>TINTA,LACA NITROCELULOSICA, PRETA, FS 595-37038</t>
  </si>
  <si>
    <t>MEP10-129</t>
  </si>
  <si>
    <t>APPLICATION VISCOSITY AT 25°C
(FORD CUP 4) 15 TO 17</t>
  </si>
  <si>
    <t>MIXING RATIO
100 partes base por 75 partes solvente</t>
  </si>
  <si>
    <t>DRYING TIME SET TO
TOUCH 10 MIN . HANDLING 30 TO 60
min</t>
  </si>
  <si>
    <t>FINAL 4 TO 6 Hs</t>
  </si>
  <si>
    <t>TINTA,EPOXI,BRANCO-FS595-17875</t>
  </si>
  <si>
    <t>MIL-C-22750</t>
  </si>
  <si>
    <t>Ultimo Registro 2008</t>
  </si>
  <si>
    <t>TINTA,EPOXI,PRETO-FS595-17038</t>
  </si>
  <si>
    <t>Ultimo Registro 2009</t>
  </si>
  <si>
    <t>TINTA POLIURETANO HS PRETO</t>
  </si>
  <si>
    <t>TINTA,EPOXI,CINZA-BRILHANTE,FS595 16492</t>
  </si>
  <si>
    <t>Ultimo Registro 2016</t>
  </si>
  <si>
    <t>TINTA,LACA NITROCELULOSICA, PRETA FS595-37038</t>
  </si>
  <si>
    <t>MIL-L-19538</t>
  </si>
  <si>
    <t>TINTA LACA ACRILICA NITROCELULOSICA</t>
  </si>
  <si>
    <t>TINTA LACA ACRILICA PRETA</t>
  </si>
  <si>
    <t>Ultimo Registro 2007</t>
  </si>
  <si>
    <t>TINTA A BASE DE EPOXI</t>
  </si>
  <si>
    <t>TINTA,EPOXI, LARANJA FS595-12246</t>
  </si>
  <si>
    <t>MIL-PRF-22750</t>
  </si>
  <si>
    <t>TINTA EPOXI LARANJA</t>
  </si>
  <si>
    <t>Ultimo Registro 2013</t>
  </si>
  <si>
    <t>TINTA PU CINZA</t>
  </si>
  <si>
    <t>TINTA,POLIURETANO, CINZA FS595-36176</t>
  </si>
  <si>
    <t>MIL-PRF-85285TI</t>
  </si>
  <si>
    <t>Ultimo Registro 2010</t>
  </si>
  <si>
    <t>TINTA,POLIURETANO HS, CINZA-FS595-36173</t>
  </si>
  <si>
    <t>-</t>
  </si>
  <si>
    <t>MEP10.069</t>
  </si>
  <si>
    <t>Deixe o material misturado repousar 15 minutos antes de medir a viscosidade.23 to 25°C (77 ± 2°F)18 – 27s, ZAHN CUP #2 35 seconds (MAX) at pot life.</t>
  </si>
  <si>
    <t>21 to 26°C (70 to 80°F) for the pot life time ±0,2POT LIFE - FLAT: 2 HOURS</t>
  </si>
  <si>
    <t>MIX  RATIO 3:1</t>
  </si>
  <si>
    <t>MIX  RATIO 2:1:1</t>
  </si>
  <si>
    <t>SEM REGISTRO NO MPCP</t>
  </si>
  <si>
    <t>VEDAÇÃO 120-49468-005</t>
  </si>
  <si>
    <t>TINTA, POLIURETANO HS.</t>
  </si>
  <si>
    <t>Mix Ratio 2:1:1</t>
  </si>
  <si>
    <t>TINTA,PU,HS,BEGE FOSCO, FS33717</t>
  </si>
  <si>
    <t>VERIFICAR ADRIANO</t>
  </si>
  <si>
    <t>Mix Ratio 3:1</t>
  </si>
  <si>
    <t xml:space="preserve">TINTA,POLIURETANO HS. </t>
  </si>
  <si>
    <t>Consultar EMBRAER</t>
  </si>
  <si>
    <t>TINTA BEGE</t>
  </si>
  <si>
    <t xml:space="preserve">TINTA, POLIURETANO </t>
  </si>
  <si>
    <t xml:space="preserve">Consultar EMBRAER </t>
  </si>
  <si>
    <r>
      <rPr>
        <b/>
        <sz val="8"/>
        <color theme="1"/>
        <rFont val="Arial Narrow"/>
        <family val="2"/>
      </rPr>
      <t>Copo, Viscosidade</t>
    </r>
    <r>
      <rPr>
        <sz val="8"/>
        <color theme="1"/>
        <rFont val="Arial Narrow"/>
        <family val="2"/>
      </rPr>
      <t xml:space="preserve"> </t>
    </r>
  </si>
  <si>
    <t>MEP APLICÁVEL</t>
  </si>
  <si>
    <t>BASE</t>
  </si>
  <si>
    <t>CATALISADOR</t>
  </si>
  <si>
    <t>ÁGUA</t>
  </si>
  <si>
    <t>SOLVENTE</t>
  </si>
  <si>
    <t>AGUA</t>
  </si>
  <si>
    <t>CAT</t>
  </si>
  <si>
    <t>QTD DESEJADA</t>
  </si>
  <si>
    <t>OPCIONAIS</t>
  </si>
  <si>
    <t>Especificação</t>
  </si>
  <si>
    <t>20°C</t>
  </si>
  <si>
    <t>PRINCIPAL</t>
  </si>
  <si>
    <t xml:space="preserve">  </t>
  </si>
  <si>
    <t>10-053</t>
  </si>
  <si>
    <t>25°C</t>
  </si>
  <si>
    <t>10-059</t>
  </si>
  <si>
    <t>8 HORAS</t>
  </si>
  <si>
    <t>10-069</t>
  </si>
  <si>
    <t>10-070</t>
  </si>
  <si>
    <t>3 HORAS</t>
  </si>
  <si>
    <t>THINNER</t>
  </si>
  <si>
    <t>10-071</t>
  </si>
  <si>
    <t>2 HORAS</t>
  </si>
  <si>
    <t>COPO ZAHN 3</t>
  </si>
  <si>
    <t>10-073</t>
  </si>
  <si>
    <t xml:space="preserve"> </t>
  </si>
  <si>
    <t>10-075</t>
  </si>
  <si>
    <t>VISCOSITY AT 20°C 8.000 - 15.000 cP
(COPO FORD 4 DE 15 A 31SG)</t>
  </si>
  <si>
    <t>10-084</t>
  </si>
  <si>
    <t>10-105</t>
  </si>
  <si>
    <t>1 HORA</t>
  </si>
  <si>
    <t>0.25 Gr</t>
  </si>
  <si>
    <t>0.5Gr</t>
  </si>
  <si>
    <t>0.75 Gr</t>
  </si>
  <si>
    <t>1 Gr</t>
  </si>
  <si>
    <t>1.25 Gr</t>
  </si>
  <si>
    <t>1.5 Gr</t>
  </si>
  <si>
    <t>1.75 Gr</t>
  </si>
  <si>
    <t>2 Gr</t>
  </si>
  <si>
    <t>2.25 Gr</t>
  </si>
  <si>
    <t>2.5 Gr</t>
  </si>
  <si>
    <t>4 HORAS</t>
  </si>
  <si>
    <t>10-117</t>
  </si>
  <si>
    <t>POT LIFE 8 h s Á 25°C</t>
  </si>
  <si>
    <t xml:space="preserve">MIXING RATIO
100 partes base por 100 partes THINNER </t>
  </si>
  <si>
    <t>10-129</t>
  </si>
  <si>
    <t>CÓDIGO MATERIAL</t>
  </si>
  <si>
    <t>MEP 10-075</t>
  </si>
  <si>
    <t>MEP10-031</t>
  </si>
  <si>
    <t>MEP10-032</t>
  </si>
  <si>
    <t>MEP10-061</t>
  </si>
  <si>
    <t>MEP10-074</t>
  </si>
  <si>
    <t>MEP 10-073</t>
  </si>
  <si>
    <t xml:space="preserve">MEP10-069 </t>
  </si>
  <si>
    <t>MEPS</t>
  </si>
  <si>
    <t>40-157</t>
  </si>
  <si>
    <t>40-174</t>
  </si>
  <si>
    <t>Tipo</t>
  </si>
  <si>
    <r>
      <t xml:space="preserve">CÓDIGO DE TINTAS LIBERADOS
</t>
    </r>
    <r>
      <rPr>
        <sz val="8"/>
        <color rgb="FFFF0000"/>
        <rFont val="Arial"/>
        <family val="2"/>
      </rPr>
      <t xml:space="preserve">
(Confirmar se o material a ser aplicado conforme documento, consta nesta tabela)</t>
    </r>
  </si>
  <si>
    <t>Humidade:</t>
  </si>
  <si>
    <t xml:space="preserve">Base </t>
  </si>
  <si>
    <t>Catalisador</t>
  </si>
  <si>
    <t>Sim</t>
  </si>
  <si>
    <t>Viscosidade</t>
  </si>
  <si>
    <t>Copo</t>
  </si>
  <si>
    <t>Temperatura</t>
  </si>
  <si>
    <t>Observação</t>
  </si>
  <si>
    <t>Nota: Repousar o material por 15 minutos antes de medir a viscosidade.</t>
  </si>
  <si>
    <t>Pot Life:</t>
  </si>
  <si>
    <t>Temp. de preparação:</t>
  </si>
  <si>
    <t>Preparação dos componentes (Agitador)</t>
  </si>
  <si>
    <t>Diluente</t>
  </si>
  <si>
    <t>x</t>
  </si>
  <si>
    <t>1° Mix</t>
  </si>
  <si>
    <t>2° Mix</t>
  </si>
  <si>
    <t>Mixer dos componentes</t>
  </si>
  <si>
    <t>PARÂMETROS DE PREPARAÇÃO DE TINTAS</t>
  </si>
  <si>
    <t>10 á 15 MIN.</t>
  </si>
  <si>
    <t>Tempo</t>
  </si>
  <si>
    <t>Sempre adicionar o catalisador na base e nunca o oposto.</t>
  </si>
  <si>
    <t>MEP10-069 (2)</t>
  </si>
  <si>
    <t>Pot Life á 25°C</t>
  </si>
  <si>
    <t>10-031 Substituida pela MEP 10-073</t>
  </si>
  <si>
    <t>CAT/</t>
  </si>
  <si>
    <t>Qtd desejada</t>
  </si>
  <si>
    <t>Proporção de Mistura por peso</t>
  </si>
  <si>
    <t>Qnt Desejada</t>
  </si>
  <si>
    <t>Água</t>
  </si>
  <si>
    <t xml:space="preserve">DIN 4 </t>
  </si>
  <si>
    <t>40 – 48s</t>
  </si>
  <si>
    <t>Max 15% água para obter viscosidade</t>
  </si>
  <si>
    <t>5 a 6  HORAS</t>
  </si>
  <si>
    <t>Não</t>
  </si>
  <si>
    <t>21°C a 25°C</t>
  </si>
  <si>
    <t>Pot Life 23°C +/- 2°C</t>
  </si>
  <si>
    <t>CATALIS/</t>
  </si>
  <si>
    <t>PROPORÇÃO DE MISTURA (Gr)</t>
  </si>
  <si>
    <t>10 á 15 min.</t>
  </si>
  <si>
    <t>Pot Life</t>
  </si>
  <si>
    <t>DIN 4</t>
  </si>
  <si>
    <t>40 - 48seg</t>
  </si>
  <si>
    <t>10 - 80%</t>
  </si>
  <si>
    <t>MEP10-075 (2)</t>
  </si>
  <si>
    <t>MEP10-053 (2)</t>
  </si>
  <si>
    <t>5 a 6 HORAS</t>
  </si>
  <si>
    <t>35 - 40seg</t>
  </si>
  <si>
    <t>15°C a 32°C</t>
  </si>
  <si>
    <t>N/a</t>
  </si>
  <si>
    <t>Nota: O uso de conta gotas pode ser necessário para pequenas quantidades.</t>
  </si>
  <si>
    <t>15 - 17seg</t>
  </si>
  <si>
    <t>FORD CUP 4</t>
  </si>
  <si>
    <t>ACIONAR ENGENHARIA DE PROCESSOS CASO HAJA USO DE ALGUNS DESTES CÓDIGOS</t>
  </si>
  <si>
    <t>Thinner</t>
  </si>
  <si>
    <t>TABELA PARÂMETROS PREPARAÇÃO DE TINTAS</t>
  </si>
  <si>
    <t>Base</t>
  </si>
  <si>
    <t>20°C a 25°C</t>
  </si>
  <si>
    <t>85% Máx</t>
  </si>
  <si>
    <t xml:space="preserve"> MATERIAL PRINCIPAL</t>
  </si>
  <si>
    <r>
      <t xml:space="preserve"> CÓDIGOS OPCIONAIS
</t>
    </r>
    <r>
      <rPr>
        <b/>
        <sz val="8"/>
        <color theme="1"/>
        <rFont val="Arial"/>
        <family val="2"/>
      </rPr>
      <t>(Utilizam mesmo catalisador/ Diluente)</t>
    </r>
  </si>
  <si>
    <t>MATERIAL PRINCIPAL</t>
  </si>
  <si>
    <t>85% Máx.</t>
  </si>
  <si>
    <r>
      <t xml:space="preserve">CÓDIGOS OPCIONAIS
</t>
    </r>
    <r>
      <rPr>
        <b/>
        <sz val="9"/>
        <color theme="1"/>
        <rFont val="Arial"/>
        <family val="2"/>
      </rPr>
      <t>(Utilizam mesmo catalisador)</t>
    </r>
  </si>
  <si>
    <r>
      <t xml:space="preserve">CÓDIGOS OPCIONAIS
</t>
    </r>
    <r>
      <rPr>
        <b/>
        <sz val="8"/>
        <color theme="1"/>
        <rFont val="Arial"/>
        <family val="2"/>
      </rPr>
      <t>(Utiliza o mesmo catalisador)</t>
    </r>
  </si>
  <si>
    <t>PC-232</t>
  </si>
  <si>
    <t>Nota 1: Até uma parte do TR 102 ou TR 114 pode ser usada para melhorar o fluxo.</t>
  </si>
  <si>
    <r>
      <t xml:space="preserve">CÓDIGOS OPCIONAIS
</t>
    </r>
    <r>
      <rPr>
        <b/>
        <sz val="9"/>
        <color theme="1"/>
        <rFont val="Arial"/>
        <family val="2"/>
      </rPr>
      <t>(Utiliza o mesmo catalisador)</t>
    </r>
  </si>
  <si>
    <r>
      <t xml:space="preserve">CÓDIGOS OPCIONAIS
</t>
    </r>
    <r>
      <rPr>
        <b/>
        <sz val="9"/>
        <color theme="1"/>
        <rFont val="Arial"/>
        <family val="2"/>
      </rPr>
      <t>(Utilizam o mesmo catalisador)</t>
    </r>
  </si>
  <si>
    <t>PC-216</t>
  </si>
  <si>
    <t>15 – 27s</t>
  </si>
  <si>
    <t>Pot Life á 23°C +/- 2°C</t>
  </si>
  <si>
    <t>CA8800Z</t>
  </si>
  <si>
    <t>CA8800CT</t>
  </si>
  <si>
    <t>Pot Life 20°C a 25°C</t>
  </si>
  <si>
    <t>Máx 10% 
para Obter viscosidade</t>
  </si>
  <si>
    <t>2,5 HORAS</t>
  </si>
  <si>
    <t>CONSULTAR MEP</t>
  </si>
  <si>
    <t>EC-110</t>
  </si>
  <si>
    <t>A FLEX E-70</t>
  </si>
  <si>
    <t>Data</t>
  </si>
  <si>
    <t>Responsável pela revisão</t>
  </si>
  <si>
    <t>Revisão</t>
  </si>
  <si>
    <t>Todas</t>
  </si>
  <si>
    <t>Dany de Oliveira</t>
  </si>
  <si>
    <t>Liberação para produção da tabela com os parâmetros definidos para uso.</t>
  </si>
  <si>
    <t>Rev. 00</t>
  </si>
  <si>
    <t>REVISÃO</t>
  </si>
  <si>
    <t xml:space="preserve">MEP </t>
  </si>
  <si>
    <t>17085CEH-LVOC</t>
  </si>
  <si>
    <t>CA 9300B</t>
  </si>
  <si>
    <t>X-503</t>
  </si>
  <si>
    <t>Interplan 1041</t>
  </si>
  <si>
    <t xml:space="preserve">H2K
PN21060510D001L </t>
  </si>
  <si>
    <t xml:space="preserve">TINTA POLIURETANO H.S., SNOW WHITE </t>
  </si>
  <si>
    <t>MEP 10-069</t>
  </si>
  <si>
    <t>PC-233
(E1453453)</t>
  </si>
  <si>
    <t>TR-109
(1453445)</t>
  </si>
  <si>
    <t>PC-233
(1453453)</t>
  </si>
  <si>
    <t>C</t>
  </si>
  <si>
    <t>B</t>
  </si>
  <si>
    <t>A</t>
  </si>
  <si>
    <t>POSIÇÃO</t>
  </si>
  <si>
    <t>LOCALIZAÇÃO</t>
  </si>
  <si>
    <t>CEMB</t>
  </si>
  <si>
    <t>MATERIAIS A SEREM UTILIZADOS CONFORME MEP 10-073</t>
  </si>
  <si>
    <t>Consulte aqui o código para direcionamento:</t>
  </si>
  <si>
    <t xml:space="preserve">Copo </t>
  </si>
  <si>
    <t>DIN4</t>
  </si>
  <si>
    <t>20 a 85%</t>
  </si>
  <si>
    <t>Umidade</t>
  </si>
  <si>
    <t>PROPORÇÃO 4:1</t>
  </si>
  <si>
    <t>ISO CUP #4</t>
  </si>
  <si>
    <t>ZAHN CUP 2</t>
  </si>
  <si>
    <t>COPO</t>
  </si>
  <si>
    <t>ESPEC.</t>
  </si>
  <si>
    <t>10-118 / 10-133</t>
  </si>
  <si>
    <t>SJK A1</t>
  </si>
  <si>
    <t>OPCIONAL</t>
  </si>
  <si>
    <t>SJK A2</t>
  </si>
  <si>
    <t>SJK A3</t>
  </si>
  <si>
    <t>SJK A4</t>
  </si>
  <si>
    <t>SJK A5</t>
  </si>
  <si>
    <t>SJK A6</t>
  </si>
  <si>
    <t>SJK A7</t>
  </si>
  <si>
    <t>SJK B1</t>
  </si>
  <si>
    <t>SJK B2</t>
  </si>
  <si>
    <t>SJK B3</t>
  </si>
  <si>
    <t>SJK B4</t>
  </si>
  <si>
    <t>SJK B5</t>
  </si>
  <si>
    <t>SJK B6</t>
  </si>
  <si>
    <t>SJK B7</t>
  </si>
  <si>
    <t>SJK C1</t>
  </si>
  <si>
    <t>SJK C2</t>
  </si>
  <si>
    <t>SJK C3</t>
  </si>
  <si>
    <t>SJK C4</t>
  </si>
  <si>
    <t>SJK C5</t>
  </si>
  <si>
    <t>SJK C6</t>
  </si>
  <si>
    <t>SJK D1</t>
  </si>
  <si>
    <t>SJK D2</t>
  </si>
  <si>
    <t>SJK D3</t>
  </si>
  <si>
    <t>SJK D4</t>
  </si>
  <si>
    <t>SJK D5</t>
  </si>
  <si>
    <t>SJK D6</t>
  </si>
  <si>
    <t>SJK D7</t>
  </si>
  <si>
    <t>SJK D8</t>
  </si>
  <si>
    <t>SJK D9</t>
  </si>
  <si>
    <t>SJK D10</t>
  </si>
  <si>
    <t>SJK D11</t>
  </si>
  <si>
    <t>SJK E1</t>
  </si>
  <si>
    <t>SJK E2</t>
  </si>
  <si>
    <t>SJK E3</t>
  </si>
  <si>
    <t>SJK E4</t>
  </si>
  <si>
    <t>SJK E5</t>
  </si>
  <si>
    <t>SJK E6</t>
  </si>
  <si>
    <t>SJK E7</t>
  </si>
  <si>
    <t>SJK E8</t>
  </si>
  <si>
    <t>SJK E9</t>
  </si>
  <si>
    <t>SJK F1</t>
  </si>
  <si>
    <t>SJK F2</t>
  </si>
  <si>
    <t>SJK F3</t>
  </si>
  <si>
    <t>SJK F4</t>
  </si>
  <si>
    <t>SJK F5</t>
  </si>
  <si>
    <t>SJK F6</t>
  </si>
  <si>
    <t>SJK F7</t>
  </si>
  <si>
    <t>SJK F8</t>
  </si>
  <si>
    <t>SJK F9</t>
  </si>
  <si>
    <t>SJK F10</t>
  </si>
  <si>
    <t>SJK F12</t>
  </si>
  <si>
    <t>SJK G1</t>
  </si>
  <si>
    <t>SJK G2</t>
  </si>
  <si>
    <t>SJK G3</t>
  </si>
  <si>
    <t>SJK H1</t>
  </si>
  <si>
    <t>SJK H2</t>
  </si>
  <si>
    <t>SJK H3</t>
  </si>
  <si>
    <t>SJK I1</t>
  </si>
  <si>
    <t>SJK I2</t>
  </si>
  <si>
    <t>SJK J1</t>
  </si>
  <si>
    <t>SJK J2</t>
  </si>
  <si>
    <t>SJK J4</t>
  </si>
  <si>
    <t>SJK K1</t>
  </si>
  <si>
    <t>SJK K2</t>
  </si>
  <si>
    <t>BOT A1</t>
  </si>
  <si>
    <t>BOT A2</t>
  </si>
  <si>
    <t>BOT A3</t>
  </si>
  <si>
    <t>BOT B1</t>
  </si>
  <si>
    <t>BOT B2</t>
  </si>
  <si>
    <t>BOT B3</t>
  </si>
  <si>
    <t>BOT C1</t>
  </si>
  <si>
    <t>BOT C2</t>
  </si>
  <si>
    <t>BOT C3</t>
  </si>
  <si>
    <t>BOT D1</t>
  </si>
  <si>
    <t>BOT E1</t>
  </si>
  <si>
    <t>LOCALIZAÇÃO CABINE PREP. TINTA</t>
  </si>
  <si>
    <t>LOCALIZAÇÃO ALMOXARIFADO</t>
  </si>
  <si>
    <t xml:space="preserve">CA8800Z </t>
  </si>
  <si>
    <t>GLOSS (G)</t>
  </si>
  <si>
    <t>COPO ZAHN 2</t>
  </si>
  <si>
    <t>17 - 30s</t>
  </si>
  <si>
    <t>23ºC A 25ºC</t>
  </si>
  <si>
    <t>TIPO</t>
  </si>
  <si>
    <t>ESPECIFICAÇÃO</t>
  </si>
  <si>
    <t>TEMPERATURA</t>
  </si>
  <si>
    <t>SJK F11</t>
  </si>
  <si>
    <t>VAZIO</t>
  </si>
  <si>
    <t>SJK H4</t>
  </si>
  <si>
    <t>SJK J3</t>
  </si>
  <si>
    <t>SJK K3</t>
  </si>
  <si>
    <t>BOT A4</t>
  </si>
  <si>
    <t>BOT B4</t>
  </si>
  <si>
    <t>DESCRIÇÃO</t>
  </si>
  <si>
    <t>TINTA,POLIURETANO HS, CINZA FS595-16492</t>
  </si>
  <si>
    <t>TINTA PU HIGH SOLIDS, VERDE, FOSCO, FS595-34092, TIPO II</t>
  </si>
  <si>
    <t>PRIMER,POLIURETANO,SEM CROMATO, PARA PINTURA MATERIAL COMPOSTO</t>
  </si>
  <si>
    <t>CATALISADOR,TINTA,POLIURETANO HS, HIHG SOLIDS</t>
  </si>
  <si>
    <t>TINTA,LACA VINILICA, PRETA</t>
  </si>
  <si>
    <t>PRIMER EPX, BASE ÁGUA, SEM CROMO, PARA COMPÓSITOS, BEIGE, P65-C2K</t>
  </si>
  <si>
    <t>PRIMER EPOXI "IMC", BASE ÁGUA, SEM CROMO,P/ COMPOSITOS, BRANCO</t>
  </si>
  <si>
    <t>PRIMER EPOXI "IMC", BASE ÁGUA, SEM CROMO, PARA COMPÓSITOS, BEIGE</t>
  </si>
  <si>
    <t>CATALISADOR PARA TINTA IP1083, PRIMER BASE D'AGUA IP1100 E 1200</t>
  </si>
  <si>
    <t>CATALISADOR PARA TINTA IP1083 E PRIMER IP1100,BASE D'AGUA</t>
  </si>
  <si>
    <t>TINTA,POLIURETANO HS, BRILHANTE, LARANJA, FS12246</t>
  </si>
  <si>
    <t>TINTA,POLIURETANO,BASE AGUA, PRETO METALICO, INTERIOR</t>
  </si>
  <si>
    <t>SOLVENTE PARA TINTA POLIURETANO HIGH SOLIDS</t>
  </si>
  <si>
    <t>SOLVENTE, TINTA,POLIURETANO HS,</t>
  </si>
  <si>
    <t>TINTA,EPOXI, CERAMICA, PRETA FOSCA</t>
  </si>
  <si>
    <t>SOLVENTE PARA PRIMER SEM CROMATO</t>
  </si>
  <si>
    <t>TINTA,POLIURETANO,BASE AGUA, PANTONE 467C, FOSCO, INTERIOR</t>
  </si>
  <si>
    <t>TINTA POLIURETANO H.S., CONZA, BAC 707 ( PADRÃO EMBRAER)</t>
  </si>
  <si>
    <t>TINTA,POLIURETANO HS, CINZA, BAC 707( PADRÃO EMBRAER)</t>
  </si>
  <si>
    <t>TINTA POLIURETANO H.S., SNOW WHITE (PADRÃO EMBRAER)</t>
  </si>
  <si>
    <t>TINTA, HS, POLIURETANO HS, PRETA BAC 701</t>
  </si>
  <si>
    <t>TINTA,POLIURETANO, PRETA FS595-37038</t>
  </si>
  <si>
    <t>TINTA,POLIURETANO HS,CINZA BRILHANTE , BAC 707</t>
  </si>
  <si>
    <t>COMPOSTO,RESINA ACRILICA, PREENCHEDORA MATERIAL COMPOSTO</t>
  </si>
  <si>
    <t>FILER PARA MATERIAL COMPOSTO</t>
  </si>
  <si>
    <t>FILER PARA MATERIAIS DE INTERIOR, FR-M1K</t>
  </si>
  <si>
    <t>TINTA,POLIURETANO PTFE,CINZA BAC 707</t>
  </si>
  <si>
    <t>COMPOSTO POLIESTER PARA ACABAMENTO</t>
  </si>
  <si>
    <t>SJK G4</t>
  </si>
  <si>
    <t>FILLER PARA MATERIAL COMPOSTO, CINZA, FS595-36173</t>
  </si>
  <si>
    <t>TINTA,EPOXI,ALUMINIO,RESISTENTE AO CALOR</t>
  </si>
  <si>
    <t>TINTA,ACRILICO POLIURETANO,ALUMINIO,RESISTENTE AO CALOR</t>
  </si>
  <si>
    <t>SOLVENTE PARA LACA  NITROCELULÓSICA</t>
  </si>
  <si>
    <t>SOLVENTE,LACA ACRILICA</t>
  </si>
  <si>
    <t>TINTA,VINILICA SERIGRAFIA,BRANCA</t>
  </si>
  <si>
    <t>TINTA,POLIURETANO, SERIGRAFIA PRETA</t>
  </si>
  <si>
    <t>TINTA,POLIURETANO, CINZA FS595-36176, TIPO I</t>
  </si>
  <si>
    <t>TINTA,POLIURETANO HS, VERMELHA FS595-11136</t>
  </si>
  <si>
    <t>VALIDADE</t>
  </si>
  <si>
    <t>Validade</t>
  </si>
  <si>
    <t>LOTE</t>
  </si>
  <si>
    <t>Tipo 1</t>
  </si>
  <si>
    <t>Tipo 2</t>
  </si>
  <si>
    <t xml:space="preserve">FORD CUP #4 </t>
  </si>
  <si>
    <t>24-32 Seg</t>
  </si>
  <si>
    <t>40-70 Seg</t>
  </si>
  <si>
    <t>30 Seg (MAX)</t>
  </si>
  <si>
    <t>ZAHN CUP #2</t>
  </si>
  <si>
    <t>COPO (Viscosidade)</t>
  </si>
  <si>
    <t>40-48 Seg</t>
  </si>
  <si>
    <t>DIN CUP #4</t>
  </si>
  <si>
    <t>Se caso não bater a viscosidade, acrescentar no maximo 10% a mais de agua</t>
  </si>
  <si>
    <t>Rev. 01</t>
  </si>
  <si>
    <t>Fernando Donizetti</t>
  </si>
  <si>
    <t xml:space="preserve">Inclusão da tinta código 1397233 </t>
  </si>
  <si>
    <t>FORD 4</t>
  </si>
  <si>
    <t>15+/-4 Seg</t>
  </si>
  <si>
    <t>23C A 25°C</t>
  </si>
  <si>
    <t>15-25 Seg.</t>
  </si>
  <si>
    <t>20°C A 25°C</t>
  </si>
  <si>
    <t>40 - 48Seg</t>
  </si>
  <si>
    <t>40 - 48 Seg</t>
  </si>
  <si>
    <t>15-25 Seg</t>
  </si>
  <si>
    <t>23-32 Seg</t>
  </si>
  <si>
    <t>Se caso não bater a viscosidade, acrescentar no maximo 15% a mais de agua para acertar a viscosidade</t>
  </si>
  <si>
    <t>TINTA,POLIURETANO,BASE AGUA,</t>
  </si>
  <si>
    <t>TINTA,CINZA PMS COOL</t>
  </si>
  <si>
    <t>TINTA A BASE DE POLIURETANO VERMELHO</t>
  </si>
  <si>
    <t>Rev. 02</t>
  </si>
  <si>
    <t>Inclusão da tinta código 1452750 e o código opcional: 5358508</t>
  </si>
  <si>
    <t>17-30 Seg.</t>
  </si>
  <si>
    <t xml:space="preserve">25 - 40 Seg </t>
  </si>
  <si>
    <t>50 - 100 Seg</t>
  </si>
  <si>
    <t>17-30 Seg</t>
  </si>
  <si>
    <t>TINTA,POLIURETANO HS, BRILHANTE, AMARELO</t>
  </si>
  <si>
    <t>TINTA,POLIURETANO HS, BRILHANTE,AMARELO</t>
  </si>
  <si>
    <t>24-A</t>
  </si>
  <si>
    <t>C021333328</t>
  </si>
  <si>
    <t>C021948681</t>
  </si>
  <si>
    <t>C22002347</t>
  </si>
  <si>
    <t>C021793035</t>
  </si>
  <si>
    <t>C021460077</t>
  </si>
  <si>
    <t>C022049216</t>
  </si>
  <si>
    <t>C021545142</t>
  </si>
  <si>
    <t>C023649770</t>
  </si>
  <si>
    <t>TINTA,POLIURETANO HS, CINZA- EMBRAER cinza Typo 1</t>
  </si>
  <si>
    <t>C023841393</t>
  </si>
  <si>
    <t>C022037382</t>
  </si>
  <si>
    <t>C021931471</t>
  </si>
  <si>
    <t>C023565189</t>
  </si>
  <si>
    <t>4-A</t>
  </si>
  <si>
    <t>C021468584</t>
  </si>
  <si>
    <t>C021919813</t>
  </si>
  <si>
    <t>F092101666</t>
  </si>
  <si>
    <t>F092101667</t>
  </si>
  <si>
    <t>C021982844</t>
  </si>
  <si>
    <t>C022071828</t>
  </si>
  <si>
    <t>C022911811</t>
  </si>
  <si>
    <t>C022036909</t>
  </si>
  <si>
    <t>C021835985</t>
  </si>
  <si>
    <t>C022020031</t>
  </si>
  <si>
    <t>C023794694</t>
  </si>
  <si>
    <t>C021761365</t>
  </si>
  <si>
    <t>C022018033</t>
  </si>
  <si>
    <t>A vencer</t>
  </si>
  <si>
    <t>C021700175</t>
  </si>
  <si>
    <t>C023706760</t>
  </si>
  <si>
    <t>C022077691</t>
  </si>
  <si>
    <t>C024007346</t>
  </si>
  <si>
    <t>4-B</t>
  </si>
  <si>
    <t>C024183110</t>
  </si>
  <si>
    <t>C021954999</t>
  </si>
  <si>
    <t>C023892500</t>
  </si>
  <si>
    <t>C023565187</t>
  </si>
  <si>
    <t>C024211968</t>
  </si>
  <si>
    <t>C024005998</t>
  </si>
  <si>
    <t>C021944721</t>
  </si>
  <si>
    <t>C022141796</t>
  </si>
  <si>
    <t>C023833262</t>
  </si>
  <si>
    <t>C024003128</t>
  </si>
  <si>
    <t>C022141803</t>
  </si>
  <si>
    <t>C021554662</t>
  </si>
  <si>
    <t>5-B</t>
  </si>
  <si>
    <t>REVESTIMENTO DE ALUMÍNIO</t>
  </si>
  <si>
    <t>MEP 10-077</t>
  </si>
  <si>
    <t>VISCOSIDADE ZAHN COPO 2 (25 +/-5)</t>
  </si>
  <si>
    <t>8 Horas a 25°C</t>
  </si>
  <si>
    <t>8 horas a 25°C +/-2°C</t>
  </si>
  <si>
    <t>168 Horas</t>
  </si>
  <si>
    <t>10-077</t>
  </si>
  <si>
    <t>8 Horas</t>
  </si>
  <si>
    <t>ZAHN 2</t>
  </si>
  <si>
    <t>25+/-5 Seg</t>
  </si>
  <si>
    <t>10% Máximo Água</t>
  </si>
  <si>
    <t>APENAS SE NECESSÁRIO</t>
  </si>
  <si>
    <t>C024122703</t>
  </si>
  <si>
    <t>C021616681</t>
  </si>
  <si>
    <t>C024077817</t>
  </si>
  <si>
    <t>C024211969</t>
  </si>
  <si>
    <t>C022105283</t>
  </si>
  <si>
    <t>VENCIDO</t>
  </si>
  <si>
    <t>C023585531</t>
  </si>
  <si>
    <t>F042588742</t>
  </si>
  <si>
    <t>13-C</t>
  </si>
  <si>
    <t>Em Falta</t>
  </si>
  <si>
    <t>TINTA ECLIPSE HIGH SOLIDS BEGE</t>
  </si>
  <si>
    <t>BEGE</t>
  </si>
  <si>
    <t>TINTA POLYRETANO CINZA</t>
  </si>
  <si>
    <t>TINTA cinza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</si>
</sst>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Arial Narrow"/>
      <family val="2"/>
    </font>
    <font>
      <b/>
      <sz val="8"/>
      <color rgb="FF000000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theme="1"/>
      <name val="Arial Narrow"/>
      <family val="2"/>
    </font>
    <font>
      <sz val="7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name val="Calibri"/>
      <family val="2"/>
      <scheme val="minor"/>
    </font>
    <font>
      <b/>
      <sz val="6"/>
      <color rgb="FF000000"/>
      <name val="Calibri"/>
      <family val="2"/>
    </font>
    <font>
      <sz val="8"/>
      <color rgb="FF000000"/>
      <name val="Verdana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Aria 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rgb="FFFF0000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8"/>
      <color theme="7" tint="0.7999816888943144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Verdana"/>
      <family val="2"/>
    </font>
    <font>
      <b/>
      <sz val="12"/>
      <color theme="0"/>
      <name val="Calibri"/>
      <family val="2"/>
      <scheme val="minor"/>
    </font>
    <font>
      <sz val="22"/>
      <color rgb="FFFF0000"/>
      <name val="Verdana"/>
      <family val="2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5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7" tint="0.59999389629810485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7.5"/>
      <color theme="1"/>
      <name val="Calibri"/>
      <family val="2"/>
      <scheme val="minor"/>
    </font>
    <font>
      <sz val="12"/>
      <color rgb="FFD60093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4"/>
      <color rgb="FF000080"/>
      <name val="Calibri"/>
      <family val="2"/>
    </font>
    <font>
      <sz val="11"/>
      <color rgb="FF000080"/>
      <name val="Calibri"/>
      <family val="2"/>
    </font>
    <font>
      <sz val="11"/>
      <color rgb="FFFF0000"/>
      <name val="Calibri"/>
      <family val="2"/>
    </font>
    <font>
      <b/>
      <sz val="11"/>
      <color rgb="FF0000FF"/>
      <name val="Calibri"/>
      <family val="2"/>
    </font>
    <font>
      <b/>
      <sz val="12"/>
      <color rgb="FFFF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 Light"/>
      <family val="2"/>
      <scheme val="major"/>
    </font>
  </fonts>
  <fills count="39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03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8EE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905EB"/>
        <bgColor indexed="64"/>
      </patternFill>
    </fill>
    <fill>
      <patternFill patternType="solid">
        <fgColor rgb="FFFCAADB"/>
        <bgColor indexed="64"/>
      </patternFill>
    </fill>
    <fill>
      <patternFill patternType="solid">
        <fgColor rgb="FF78370A"/>
        <bgColor indexed="64"/>
      </patternFill>
    </fill>
    <fill>
      <patternFill patternType="solid">
        <fgColor theme="1" tint="0.34998626667073579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2">
    <xf numFmtId="0" fontId="0" fillId="0" borderId="0"/>
    <xf numFmtId="9" fontId="35" fillId="0" borderId="0" applyFont="0" applyFill="0" applyBorder="0" applyAlignment="0" applyProtection="0"/>
  </cellStyleXfs>
  <cellXfs count="570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3" fontId="6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6" fillId="4" borderId="1" xfId="0" applyFont="1" applyFill="1" applyBorder="1" applyAlignment="1">
      <alignment horizontal="center" vertical="center" wrapText="1"/>
    </xf>
    <xf numFmtId="0" fontId="6" fillId="3" borderId="1" xfId="0" applyFont="1" applyFill="1" applyBorder="1"/>
    <xf numFmtId="0" fontId="6" fillId="0" borderId="1" xfId="0" applyFont="1" applyBorder="1" applyAlignment="1">
      <alignment horizontal="center" vertical="center"/>
    </xf>
    <xf numFmtId="0" fontId="0" fillId="5" borderId="1" xfId="0" applyFill="1" applyBorder="1"/>
    <xf numFmtId="0" fontId="6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wrapText="1"/>
    </xf>
    <xf numFmtId="0" fontId="6" fillId="6" borderId="1" xfId="0" applyFont="1" applyFill="1" applyBorder="1" applyAlignment="1">
      <alignment horizontal="center" vertical="center" wrapText="1"/>
    </xf>
    <xf numFmtId="49" fontId="8" fillId="6" borderId="1" xfId="0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0" fillId="7" borderId="1" xfId="0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14" fontId="14" fillId="4" borderId="0" xfId="0" applyNumberFormat="1" applyFont="1" applyFill="1" applyAlignment="1">
      <alignment horizontal="center" vertical="center" wrapText="1"/>
    </xf>
    <xf numFmtId="0" fontId="15" fillId="8" borderId="0" xfId="0" applyFont="1" applyFill="1" applyAlignment="1">
      <alignment vertical="center" wrapText="1"/>
    </xf>
    <xf numFmtId="49" fontId="8" fillId="6" borderId="1" xfId="0" applyNumberFormat="1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4" borderId="1" xfId="0" applyFont="1" applyFill="1" applyBorder="1"/>
    <xf numFmtId="0" fontId="0" fillId="6" borderId="1" xfId="0" applyFill="1" applyBorder="1"/>
    <xf numFmtId="0" fontId="1" fillId="6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/>
    </xf>
    <xf numFmtId="0" fontId="0" fillId="4" borderId="0" xfId="0" applyFill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" fontId="0" fillId="0" borderId="0" xfId="0" applyNumberFormat="1"/>
    <xf numFmtId="9" fontId="0" fillId="0" borderId="0" xfId="0" applyNumberFormat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9" fillId="6" borderId="0" xfId="0" applyFont="1" applyFill="1" applyAlignment="1">
      <alignment wrapText="1"/>
    </xf>
    <xf numFmtId="49" fontId="8" fillId="6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vertical="center" wrapText="1"/>
    </xf>
    <xf numFmtId="49" fontId="8" fillId="6" borderId="0" xfId="0" applyNumberFormat="1" applyFont="1" applyFill="1" applyAlignment="1">
      <alignment horizontal="center" vertical="center" wrapText="1"/>
    </xf>
    <xf numFmtId="0" fontId="8" fillId="6" borderId="0" xfId="0" applyFont="1" applyFill="1" applyAlignment="1">
      <alignment horizontal="center" vertical="center" wrapText="1"/>
    </xf>
    <xf numFmtId="0" fontId="11" fillId="6" borderId="0" xfId="0" applyFont="1" applyFill="1" applyAlignment="1">
      <alignment horizontal="center" vertical="center" wrapText="1"/>
    </xf>
    <xf numFmtId="0" fontId="0" fillId="6" borderId="0" xfId="0" applyFill="1"/>
    <xf numFmtId="0" fontId="8" fillId="7" borderId="0" xfId="0" applyFont="1" applyFill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10" borderId="0" xfId="0" applyFill="1"/>
    <xf numFmtId="0" fontId="8" fillId="10" borderId="1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wrapText="1"/>
    </xf>
    <xf numFmtId="0" fontId="0" fillId="10" borderId="1" xfId="0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1" fontId="0" fillId="5" borderId="1" xfId="0" applyNumberForma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1" fontId="0" fillId="5" borderId="0" xfId="0" applyNumberForma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0" fillId="11" borderId="0" xfId="0" applyFill="1"/>
    <xf numFmtId="0" fontId="9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wrapText="1"/>
    </xf>
    <xf numFmtId="0" fontId="8" fillId="11" borderId="1" xfId="0" applyFont="1" applyFill="1" applyBorder="1" applyAlignment="1">
      <alignment vertical="center" wrapText="1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vertical="center"/>
    </xf>
    <xf numFmtId="0" fontId="0" fillId="11" borderId="1" xfId="0" applyFill="1" applyBorder="1"/>
    <xf numFmtId="0" fontId="8" fillId="11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vertical="center"/>
    </xf>
    <xf numFmtId="0" fontId="11" fillId="11" borderId="1" xfId="0" applyFont="1" applyFill="1" applyBorder="1" applyAlignment="1">
      <alignment wrapText="1"/>
    </xf>
    <xf numFmtId="0" fontId="8" fillId="11" borderId="1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vertical="center"/>
    </xf>
    <xf numFmtId="49" fontId="8" fillId="10" borderId="1" xfId="0" applyNumberFormat="1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vertical="center" wrapText="1"/>
    </xf>
    <xf numFmtId="0" fontId="8" fillId="12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vertical="center"/>
    </xf>
    <xf numFmtId="49" fontId="8" fillId="12" borderId="1" xfId="0" applyNumberFormat="1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wrapText="1"/>
    </xf>
    <xf numFmtId="0" fontId="0" fillId="12" borderId="1" xfId="0" applyFill="1" applyBorder="1"/>
    <xf numFmtId="0" fontId="0" fillId="12" borderId="0" xfId="0" applyFill="1"/>
    <xf numFmtId="0" fontId="8" fillId="10" borderId="1" xfId="0" applyFont="1" applyFill="1" applyBorder="1" applyAlignment="1">
      <alignment wrapText="1"/>
    </xf>
    <xf numFmtId="49" fontId="8" fillId="10" borderId="1" xfId="0" applyNumberFormat="1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wrapText="1"/>
    </xf>
    <xf numFmtId="0" fontId="11" fillId="12" borderId="1" xfId="0" applyFont="1" applyFill="1" applyBorder="1" applyAlignment="1">
      <alignment wrapText="1"/>
    </xf>
    <xf numFmtId="0" fontId="11" fillId="12" borderId="1" xfId="0" applyFont="1" applyFill="1" applyBorder="1" applyAlignment="1">
      <alignment vertical="center" wrapText="1"/>
    </xf>
    <xf numFmtId="0" fontId="6" fillId="13" borderId="1" xfId="0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vertical="center" wrapText="1"/>
    </xf>
    <xf numFmtId="0" fontId="8" fillId="13" borderId="1" xfId="0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 vertical="center" wrapText="1"/>
    </xf>
    <xf numFmtId="49" fontId="8" fillId="13" borderId="1" xfId="0" applyNumberFormat="1" applyFont="1" applyFill="1" applyBorder="1" applyAlignment="1">
      <alignment horizontal="center"/>
    </xf>
    <xf numFmtId="0" fontId="0" fillId="13" borderId="1" xfId="0" applyFill="1" applyBorder="1"/>
    <xf numFmtId="0" fontId="0" fillId="13" borderId="0" xfId="0" applyFill="1"/>
    <xf numFmtId="0" fontId="8" fillId="13" borderId="1" xfId="0" applyFont="1" applyFill="1" applyBorder="1" applyAlignment="1">
      <alignment horizontal="center" wrapText="1"/>
    </xf>
    <xf numFmtId="49" fontId="8" fillId="13" borderId="1" xfId="0" applyNumberFormat="1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wrapText="1"/>
    </xf>
    <xf numFmtId="0" fontId="8" fillId="13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vertical="center" wrapText="1"/>
    </xf>
    <xf numFmtId="0" fontId="8" fillId="12" borderId="1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vertical="center"/>
    </xf>
    <xf numFmtId="0" fontId="0" fillId="12" borderId="1" xfId="0" applyFill="1" applyBorder="1" applyAlignment="1">
      <alignment vertical="center" wrapText="1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8" fillId="13" borderId="1" xfId="0" applyFont="1" applyFill="1" applyBorder="1" applyAlignment="1">
      <alignment wrapText="1"/>
    </xf>
    <xf numFmtId="0" fontId="13" fillId="13" borderId="1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center" vertical="center" wrapText="1"/>
    </xf>
    <xf numFmtId="49" fontId="8" fillId="13" borderId="1" xfId="0" applyNumberFormat="1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2" fontId="0" fillId="5" borderId="1" xfId="0" applyNumberFormat="1" applyFill="1" applyBorder="1" applyAlignment="1">
      <alignment horizontal="center" vertical="center"/>
    </xf>
    <xf numFmtId="0" fontId="0" fillId="5" borderId="13" xfId="0" applyFill="1" applyBorder="1"/>
    <xf numFmtId="0" fontId="0" fillId="5" borderId="14" xfId="0" applyFill="1" applyBorder="1"/>
    <xf numFmtId="0" fontId="17" fillId="5" borderId="0" xfId="0" applyFont="1" applyFill="1" applyAlignment="1">
      <alignment horizontal="center"/>
    </xf>
    <xf numFmtId="0" fontId="17" fillId="5" borderId="0" xfId="0" applyFont="1" applyFill="1"/>
    <xf numFmtId="0" fontId="0" fillId="5" borderId="14" xfId="0" applyFill="1" applyBorder="1" applyAlignment="1">
      <alignment vertical="center"/>
    </xf>
    <xf numFmtId="0" fontId="16" fillId="5" borderId="15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0" fontId="25" fillId="5" borderId="0" xfId="0" applyFont="1" applyFill="1"/>
    <xf numFmtId="0" fontId="6" fillId="5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18" fillId="11" borderId="5" xfId="0" applyFont="1" applyFill="1" applyBorder="1" applyAlignment="1">
      <alignment vertical="center" wrapText="1"/>
    </xf>
    <xf numFmtId="0" fontId="18" fillId="11" borderId="8" xfId="0" applyFont="1" applyFill="1" applyBorder="1" applyAlignment="1">
      <alignment vertical="center" wrapText="1"/>
    </xf>
    <xf numFmtId="0" fontId="6" fillId="5" borderId="12" xfId="0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6" fillId="5" borderId="0" xfId="0" applyFont="1" applyFill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 wrapText="1"/>
    </xf>
    <xf numFmtId="0" fontId="24" fillId="3" borderId="20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27" fillId="5" borderId="19" xfId="0" applyFont="1" applyFill="1" applyBorder="1" applyAlignment="1">
      <alignment horizontal="center" vertical="center" wrapText="1"/>
    </xf>
    <xf numFmtId="0" fontId="28" fillId="5" borderId="0" xfId="0" applyFont="1" applyFill="1"/>
    <xf numFmtId="0" fontId="24" fillId="11" borderId="1" xfId="0" applyFont="1" applyFill="1" applyBorder="1" applyAlignment="1">
      <alignment horizontal="center"/>
    </xf>
    <xf numFmtId="0" fontId="27" fillId="11" borderId="1" xfId="0" applyFont="1" applyFill="1" applyBorder="1" applyAlignment="1">
      <alignment horizontal="center" vertical="center" wrapText="1"/>
    </xf>
    <xf numFmtId="0" fontId="27" fillId="11" borderId="1" xfId="0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6" fillId="5" borderId="4" xfId="0" applyFont="1" applyFill="1" applyBorder="1" applyAlignment="1">
      <alignment horizontal="center" vertical="center"/>
    </xf>
    <xf numFmtId="0" fontId="30" fillId="5" borderId="0" xfId="0" applyFont="1" applyFill="1" applyAlignment="1">
      <alignment vertical="center"/>
    </xf>
    <xf numFmtId="0" fontId="16" fillId="0" borderId="1" xfId="0" applyFont="1" applyBorder="1" applyAlignment="1">
      <alignment horizontal="center"/>
    </xf>
    <xf numFmtId="0" fontId="6" fillId="5" borderId="11" xfId="0" applyFont="1" applyFill="1" applyBorder="1" applyAlignment="1">
      <alignment horizontal="center" vertical="center"/>
    </xf>
    <xf numFmtId="0" fontId="30" fillId="5" borderId="0" xfId="0" applyFont="1" applyFill="1"/>
    <xf numFmtId="1" fontId="0" fillId="15" borderId="1" xfId="0" applyNumberForma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0" fontId="31" fillId="5" borderId="0" xfId="0" applyFont="1" applyFill="1"/>
    <xf numFmtId="1" fontId="0" fillId="5" borderId="1" xfId="0" applyNumberFormat="1" applyFill="1" applyBorder="1" applyAlignment="1">
      <alignment horizontal="center"/>
    </xf>
    <xf numFmtId="0" fontId="34" fillId="5" borderId="0" xfId="0" applyFont="1" applyFill="1" applyAlignment="1">
      <alignment vertical="center"/>
    </xf>
    <xf numFmtId="0" fontId="21" fillId="5" borderId="4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6" fillId="5" borderId="0" xfId="0" applyFont="1" applyFill="1" applyAlignment="1">
      <alignment vertical="center" wrapText="1"/>
    </xf>
    <xf numFmtId="0" fontId="7" fillId="5" borderId="0" xfId="0" applyFont="1" applyFill="1" applyAlignment="1">
      <alignment horizontal="center" vertical="center"/>
    </xf>
    <xf numFmtId="0" fontId="7" fillId="5" borderId="0" xfId="0" applyFont="1" applyFill="1"/>
    <xf numFmtId="0" fontId="7" fillId="5" borderId="0" xfId="0" applyFont="1" applyFill="1" applyAlignment="1">
      <alignment vertical="center"/>
    </xf>
    <xf numFmtId="0" fontId="24" fillId="5" borderId="0" xfId="0" applyFont="1" applyFill="1" applyAlignment="1">
      <alignment horizontal="center" vertical="center"/>
    </xf>
    <xf numFmtId="0" fontId="26" fillId="5" borderId="0" xfId="0" applyFont="1" applyFill="1" applyAlignment="1">
      <alignment horizontal="center" vertical="center"/>
    </xf>
    <xf numFmtId="0" fontId="16" fillId="5" borderId="2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/>
    <xf numFmtId="0" fontId="1" fillId="5" borderId="1" xfId="0" applyFont="1" applyFill="1" applyBorder="1"/>
    <xf numFmtId="0" fontId="28" fillId="5" borderId="0" xfId="0" applyFont="1" applyFill="1" applyAlignment="1">
      <alignment vertical="center"/>
    </xf>
    <xf numFmtId="0" fontId="21" fillId="5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21" fillId="5" borderId="0" xfId="0" applyFont="1" applyFill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9" fontId="0" fillId="5" borderId="0" xfId="1" applyFont="1" applyFill="1"/>
    <xf numFmtId="0" fontId="0" fillId="5" borderId="4" xfId="0" applyFill="1" applyBorder="1"/>
    <xf numFmtId="0" fontId="21" fillId="5" borderId="4" xfId="0" applyFont="1" applyFill="1" applyBorder="1" applyAlignment="1">
      <alignment vertical="center"/>
    </xf>
    <xf numFmtId="0" fontId="21" fillId="5" borderId="7" xfId="0" applyFont="1" applyFill="1" applyBorder="1" applyAlignment="1">
      <alignment vertical="center"/>
    </xf>
    <xf numFmtId="0" fontId="16" fillId="5" borderId="0" xfId="0" applyFont="1" applyFill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26" fillId="5" borderId="10" xfId="0" applyFont="1" applyFill="1" applyBorder="1" applyAlignment="1">
      <alignment vertical="center"/>
    </xf>
    <xf numFmtId="1" fontId="0" fillId="16" borderId="1" xfId="0" applyNumberFormat="1" applyFill="1" applyBorder="1" applyAlignment="1">
      <alignment horizontal="center" vertical="center"/>
    </xf>
    <xf numFmtId="0" fontId="26" fillId="5" borderId="0" xfId="0" applyFont="1" applyFill="1" applyAlignment="1">
      <alignment vertical="center"/>
    </xf>
    <xf numFmtId="0" fontId="18" fillId="11" borderId="10" xfId="0" applyFont="1" applyFill="1" applyBorder="1" applyAlignment="1">
      <alignment vertical="center"/>
    </xf>
    <xf numFmtId="0" fontId="0" fillId="17" borderId="0" xfId="0" applyFill="1"/>
    <xf numFmtId="0" fontId="0" fillId="17" borderId="27" xfId="0" applyFill="1" applyBorder="1"/>
    <xf numFmtId="0" fontId="0" fillId="17" borderId="28" xfId="0" applyFill="1" applyBorder="1"/>
    <xf numFmtId="0" fontId="0" fillId="17" borderId="29" xfId="0" applyFill="1" applyBorder="1"/>
    <xf numFmtId="0" fontId="0" fillId="17" borderId="30" xfId="0" applyFill="1" applyBorder="1"/>
    <xf numFmtId="0" fontId="0" fillId="17" borderId="31" xfId="0" applyFill="1" applyBorder="1"/>
    <xf numFmtId="0" fontId="0" fillId="17" borderId="24" xfId="0" applyFill="1" applyBorder="1"/>
    <xf numFmtId="0" fontId="0" fillId="17" borderId="25" xfId="0" applyFill="1" applyBorder="1"/>
    <xf numFmtId="0" fontId="0" fillId="17" borderId="26" xfId="0" applyFill="1" applyBorder="1"/>
    <xf numFmtId="0" fontId="21" fillId="5" borderId="1" xfId="0" applyFont="1" applyFill="1" applyBorder="1" applyAlignment="1">
      <alignment horizontal="center" vertical="center" wrapText="1"/>
    </xf>
    <xf numFmtId="0" fontId="0" fillId="18" borderId="0" xfId="0" applyFill="1" applyAlignment="1">
      <alignment horizontal="center"/>
    </xf>
    <xf numFmtId="0" fontId="0" fillId="18" borderId="0" xfId="0" applyFill="1"/>
    <xf numFmtId="0" fontId="1" fillId="11" borderId="1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5" borderId="1" xfId="0" applyFill="1" applyBorder="1" applyAlignment="1">
      <alignment vertical="center"/>
    </xf>
    <xf numFmtId="0" fontId="27" fillId="5" borderId="19" xfId="0" applyFont="1" applyFill="1" applyBorder="1" applyAlignment="1" applyProtection="1">
      <alignment horizontal="center" vertical="center" wrapText="1"/>
      <protection locked="0"/>
    </xf>
    <xf numFmtId="0" fontId="18" fillId="11" borderId="16" xfId="0" applyFont="1" applyFill="1" applyBorder="1" applyAlignment="1">
      <alignment vertical="center" wrapText="1"/>
    </xf>
    <xf numFmtId="0" fontId="18" fillId="11" borderId="9" xfId="0" applyFont="1" applyFill="1" applyBorder="1" applyAlignment="1">
      <alignment vertical="center" wrapText="1"/>
    </xf>
    <xf numFmtId="0" fontId="18" fillId="11" borderId="17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18" fillId="11" borderId="6" xfId="0" applyFont="1" applyFill="1" applyBorder="1" applyAlignment="1">
      <alignment vertical="center" wrapText="1"/>
    </xf>
    <xf numFmtId="0" fontId="18" fillId="11" borderId="18" xfId="0" applyFont="1" applyFill="1" applyBorder="1" applyAlignment="1">
      <alignment vertical="center" wrapText="1"/>
    </xf>
    <xf numFmtId="0" fontId="18" fillId="11" borderId="0" xfId="0" applyFont="1" applyFill="1" applyAlignment="1">
      <alignment vertical="center" wrapText="1"/>
    </xf>
    <xf numFmtId="0" fontId="27" fillId="5" borderId="1" xfId="0" applyFont="1" applyFill="1" applyBorder="1" applyAlignment="1" applyProtection="1">
      <alignment horizontal="center" vertical="center" wrapText="1"/>
      <protection locked="0"/>
    </xf>
    <xf numFmtId="0" fontId="18" fillId="11" borderId="2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1" fillId="0" borderId="4" xfId="0" applyFont="1" applyBorder="1" applyAlignment="1">
      <alignment horizontal="centerContinuous" vertical="center"/>
    </xf>
    <xf numFmtId="0" fontId="1" fillId="0" borderId="3" xfId="0" applyFont="1" applyBorder="1" applyAlignment="1">
      <alignment horizontal="centerContinuous" vertical="center"/>
    </xf>
    <xf numFmtId="0" fontId="1" fillId="0" borderId="1" xfId="0" applyFont="1" applyBorder="1" applyAlignment="1">
      <alignment horizontal="center" vertical="center"/>
    </xf>
    <xf numFmtId="0" fontId="42" fillId="0" borderId="0" xfId="0" applyFont="1"/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/>
    </xf>
    <xf numFmtId="164" fontId="0" fillId="5" borderId="1" xfId="0" applyNumberFormat="1" applyFill="1" applyBorder="1" applyAlignment="1">
      <alignment horizontal="center" vertical="center"/>
    </xf>
    <xf numFmtId="1" fontId="0" fillId="20" borderId="1" xfId="0" applyNumberForma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center" vertical="center"/>
    </xf>
    <xf numFmtId="0" fontId="0" fillId="5" borderId="43" xfId="0" applyFill="1" applyBorder="1" applyAlignment="1">
      <alignment horizontal="center"/>
    </xf>
    <xf numFmtId="0" fontId="0" fillId="5" borderId="43" xfId="0" applyFill="1" applyBorder="1" applyAlignment="1">
      <alignment vertical="center"/>
    </xf>
    <xf numFmtId="0" fontId="0" fillId="5" borderId="44" xfId="0" applyFill="1" applyBorder="1"/>
    <xf numFmtId="0" fontId="25" fillId="5" borderId="45" xfId="0" applyFont="1" applyFill="1" applyBorder="1"/>
    <xf numFmtId="0" fontId="0" fillId="5" borderId="45" xfId="0" applyFill="1" applyBorder="1" applyAlignment="1">
      <alignment vertical="center"/>
    </xf>
    <xf numFmtId="0" fontId="0" fillId="5" borderId="45" xfId="0" applyFill="1" applyBorder="1" applyAlignment="1">
      <alignment horizontal="center"/>
    </xf>
    <xf numFmtId="0" fontId="0" fillId="5" borderId="45" xfId="0" applyFill="1" applyBorder="1"/>
    <xf numFmtId="0" fontId="0" fillId="5" borderId="46" xfId="0" applyFill="1" applyBorder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center"/>
    </xf>
    <xf numFmtId="0" fontId="25" fillId="10" borderId="0" xfId="0" applyFont="1" applyFill="1"/>
    <xf numFmtId="0" fontId="0" fillId="14" borderId="0" xfId="0" applyFill="1"/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/>
    </xf>
    <xf numFmtId="0" fontId="6" fillId="5" borderId="16" xfId="0" applyFont="1" applyFill="1" applyBorder="1" applyAlignment="1">
      <alignment vertical="center"/>
    </xf>
    <xf numFmtId="0" fontId="7" fillId="14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wrapText="1"/>
    </xf>
    <xf numFmtId="0" fontId="47" fillId="5" borderId="1" xfId="0" applyFont="1" applyFill="1" applyBorder="1" applyAlignment="1">
      <alignment horizontal="center"/>
    </xf>
    <xf numFmtId="0" fontId="47" fillId="5" borderId="1" xfId="0" applyFont="1" applyFill="1" applyBorder="1" applyAlignment="1">
      <alignment horizontal="left" vertical="center"/>
    </xf>
    <xf numFmtId="0" fontId="0" fillId="14" borderId="1" xfId="0" applyFill="1" applyBorder="1" applyAlignment="1">
      <alignment horizontal="center"/>
    </xf>
    <xf numFmtId="0" fontId="0" fillId="17" borderId="47" xfId="0" applyFill="1" applyBorder="1"/>
    <xf numFmtId="0" fontId="47" fillId="5" borderId="0" xfId="0" applyFont="1" applyFill="1" applyAlignment="1">
      <alignment vertical="center"/>
    </xf>
    <xf numFmtId="0" fontId="48" fillId="3" borderId="1" xfId="0" applyFont="1" applyFill="1" applyBorder="1" applyAlignment="1">
      <alignment vertical="center"/>
    </xf>
    <xf numFmtId="0" fontId="47" fillId="5" borderId="1" xfId="0" applyFont="1" applyFill="1" applyBorder="1" applyAlignment="1">
      <alignment horizontal="center" vertical="center"/>
    </xf>
    <xf numFmtId="0" fontId="48" fillId="22" borderId="12" xfId="0" applyFont="1" applyFill="1" applyBorder="1" applyAlignment="1">
      <alignment horizontal="center" vertical="center"/>
    </xf>
    <xf numFmtId="0" fontId="36" fillId="21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/>
    </xf>
    <xf numFmtId="0" fontId="28" fillId="5" borderId="1" xfId="0" applyFont="1" applyFill="1" applyBorder="1" applyAlignment="1">
      <alignment vertical="center"/>
    </xf>
    <xf numFmtId="0" fontId="28" fillId="5" borderId="12" xfId="0" applyFont="1" applyFill="1" applyBorder="1" applyAlignment="1">
      <alignment vertical="center"/>
    </xf>
    <xf numFmtId="0" fontId="24" fillId="23" borderId="1" xfId="0" applyFont="1" applyFill="1" applyBorder="1" applyAlignment="1">
      <alignment horizontal="center" vertical="center"/>
    </xf>
    <xf numFmtId="0" fontId="6" fillId="0" borderId="48" xfId="0" applyFont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5" borderId="10" xfId="0" applyFont="1" applyFill="1" applyBorder="1" applyAlignment="1">
      <alignment horizontal="center"/>
    </xf>
    <xf numFmtId="0" fontId="48" fillId="5" borderId="0" xfId="0" applyFont="1" applyFill="1" applyAlignment="1">
      <alignment horizontal="center" vertical="center"/>
    </xf>
    <xf numFmtId="0" fontId="48" fillId="24" borderId="1" xfId="0" applyFont="1" applyFill="1" applyBorder="1" applyAlignment="1">
      <alignment horizontal="center" vertical="center"/>
    </xf>
    <xf numFmtId="0" fontId="48" fillId="14" borderId="1" xfId="0" applyFont="1" applyFill="1" applyBorder="1" applyAlignment="1">
      <alignment horizontal="left" vertical="center"/>
    </xf>
    <xf numFmtId="0" fontId="48" fillId="5" borderId="1" xfId="0" applyFont="1" applyFill="1" applyBorder="1" applyAlignment="1">
      <alignment horizontal="center" vertical="center"/>
    </xf>
    <xf numFmtId="0" fontId="48" fillId="5" borderId="1" xfId="0" quotePrefix="1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48" fillId="22" borderId="3" xfId="0" applyFont="1" applyFill="1" applyBorder="1" applyAlignment="1">
      <alignment horizontal="left" vertical="center"/>
    </xf>
    <xf numFmtId="0" fontId="24" fillId="25" borderId="1" xfId="0" applyFont="1" applyFill="1" applyBorder="1" applyAlignment="1">
      <alignment horizontal="center"/>
    </xf>
    <xf numFmtId="0" fontId="6" fillId="5" borderId="12" xfId="0" applyFont="1" applyFill="1" applyBorder="1" applyAlignment="1">
      <alignment vertical="center"/>
    </xf>
    <xf numFmtId="0" fontId="52" fillId="5" borderId="0" xfId="0" applyFont="1" applyFill="1" applyAlignment="1">
      <alignment vertical="center"/>
    </xf>
    <xf numFmtId="0" fontId="4" fillId="0" borderId="0" xfId="0" applyFont="1" applyAlignment="1">
      <alignment horizontal="right"/>
    </xf>
    <xf numFmtId="0" fontId="53" fillId="0" borderId="0" xfId="0" applyFont="1" applyAlignment="1">
      <alignment horizontal="center" vertical="center"/>
    </xf>
    <xf numFmtId="0" fontId="54" fillId="0" borderId="3" xfId="0" applyFont="1" applyBorder="1" applyAlignment="1">
      <alignment horizontal="center" vertical="center"/>
    </xf>
    <xf numFmtId="0" fontId="50" fillId="5" borderId="0" xfId="0" applyFont="1" applyFill="1" applyAlignment="1">
      <alignment horizontal="center" vertical="center"/>
    </xf>
    <xf numFmtId="0" fontId="0" fillId="31" borderId="0" xfId="0" applyFill="1"/>
    <xf numFmtId="1" fontId="0" fillId="31" borderId="1" xfId="0" applyNumberFormat="1" applyFill="1" applyBorder="1" applyAlignment="1">
      <alignment horizontal="center" vertical="center"/>
    </xf>
    <xf numFmtId="164" fontId="0" fillId="31" borderId="1" xfId="0" applyNumberFormat="1" applyFill="1" applyBorder="1" applyAlignment="1">
      <alignment horizontal="center" vertical="center"/>
    </xf>
    <xf numFmtId="20" fontId="0" fillId="0" borderId="0" xfId="0" applyNumberFormat="1"/>
    <xf numFmtId="0" fontId="1" fillId="5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61" fillId="0" borderId="1" xfId="0" applyFont="1" applyBorder="1" applyAlignment="1">
      <alignment horizontal="center" vertical="center"/>
    </xf>
    <xf numFmtId="14" fontId="1" fillId="33" borderId="3" xfId="0" applyNumberFormat="1" applyFont="1" applyFill="1" applyBorder="1" applyAlignment="1">
      <alignment horizontal="center" vertical="center"/>
    </xf>
    <xf numFmtId="0" fontId="1" fillId="32" borderId="1" xfId="0" applyFont="1" applyFill="1" applyBorder="1" applyAlignment="1">
      <alignment horizontal="center"/>
    </xf>
    <xf numFmtId="0" fontId="1" fillId="32" borderId="1" xfId="0" applyFont="1" applyFill="1" applyBorder="1" applyAlignment="1">
      <alignment horizontal="center" vertical="center"/>
    </xf>
    <xf numFmtId="14" fontId="54" fillId="32" borderId="0" xfId="0" applyNumberFormat="1" applyFont="1" applyFill="1" applyAlignment="1">
      <alignment horizontal="center" vertical="center"/>
    </xf>
    <xf numFmtId="0" fontId="61" fillId="32" borderId="1" xfId="0" applyFont="1" applyFill="1" applyBorder="1" applyAlignment="1">
      <alignment horizontal="center" vertical="center"/>
    </xf>
    <xf numFmtId="0" fontId="1" fillId="30" borderId="1" xfId="0" applyFont="1" applyFill="1" applyBorder="1" applyAlignment="1">
      <alignment horizontal="center"/>
    </xf>
    <xf numFmtId="0" fontId="1" fillId="30" borderId="1" xfId="0" applyFont="1" applyFill="1" applyBorder="1" applyAlignment="1">
      <alignment horizontal="center" vertical="center"/>
    </xf>
    <xf numFmtId="14" fontId="61" fillId="30" borderId="3" xfId="0" applyNumberFormat="1" applyFont="1" applyFill="1" applyBorder="1" applyAlignment="1">
      <alignment horizontal="center" vertical="center"/>
    </xf>
    <xf numFmtId="0" fontId="61" fillId="30" borderId="1" xfId="0" applyFont="1" applyFill="1" applyBorder="1" applyAlignment="1">
      <alignment horizontal="center" vertical="center"/>
    </xf>
    <xf numFmtId="14" fontId="1" fillId="0" borderId="3" xfId="0" applyNumberFormat="1" applyFont="1" applyBorder="1" applyAlignment="1">
      <alignment horizontal="center" vertical="center"/>
    </xf>
    <xf numFmtId="0" fontId="1" fillId="36" borderId="1" xfId="0" applyFont="1" applyFill="1" applyBorder="1" applyAlignment="1">
      <alignment horizontal="center"/>
    </xf>
    <xf numFmtId="0" fontId="1" fillId="36" borderId="1" xfId="0" applyFont="1" applyFill="1" applyBorder="1" applyAlignment="1">
      <alignment horizontal="center" vertical="center"/>
    </xf>
    <xf numFmtId="14" fontId="61" fillId="36" borderId="3" xfId="0" applyNumberFormat="1" applyFont="1" applyFill="1" applyBorder="1" applyAlignment="1">
      <alignment horizontal="center" vertical="center"/>
    </xf>
    <xf numFmtId="0" fontId="61" fillId="36" borderId="1" xfId="0" applyFont="1" applyFill="1" applyBorder="1" applyAlignment="1">
      <alignment horizontal="center" vertical="center"/>
    </xf>
    <xf numFmtId="0" fontId="1" fillId="35" borderId="1" xfId="0" applyFont="1" applyFill="1" applyBorder="1" applyAlignment="1">
      <alignment horizontal="center"/>
    </xf>
    <xf numFmtId="0" fontId="1" fillId="35" borderId="1" xfId="0" applyFont="1" applyFill="1" applyBorder="1" applyAlignment="1">
      <alignment horizontal="center" vertical="center"/>
    </xf>
    <xf numFmtId="14" fontId="61" fillId="35" borderId="3" xfId="0" applyNumberFormat="1" applyFont="1" applyFill="1" applyBorder="1" applyAlignment="1">
      <alignment horizontal="center" vertical="center"/>
    </xf>
    <xf numFmtId="0" fontId="61" fillId="35" borderId="1" xfId="0" applyFont="1" applyFill="1" applyBorder="1" applyAlignment="1">
      <alignment horizontal="center" vertical="center"/>
    </xf>
    <xf numFmtId="14" fontId="61" fillId="5" borderId="3" xfId="0" applyNumberFormat="1" applyFont="1" applyFill="1" applyBorder="1" applyAlignment="1">
      <alignment horizontal="center" vertical="center"/>
    </xf>
    <xf numFmtId="0" fontId="61" fillId="5" borderId="1" xfId="0" applyFont="1" applyFill="1" applyBorder="1" applyAlignment="1">
      <alignment horizontal="center" vertical="center"/>
    </xf>
    <xf numFmtId="0" fontId="61" fillId="7" borderId="1" xfId="0" applyFont="1" applyFill="1" applyBorder="1" applyAlignment="1">
      <alignment horizontal="center"/>
    </xf>
    <xf numFmtId="0" fontId="61" fillId="7" borderId="1" xfId="0" applyFont="1" applyFill="1" applyBorder="1" applyAlignment="1">
      <alignment horizontal="center" vertical="center"/>
    </xf>
    <xf numFmtId="14" fontId="61" fillId="7" borderId="3" xfId="0" applyNumberFormat="1" applyFont="1" applyFill="1" applyBorder="1" applyAlignment="1">
      <alignment horizontal="center" vertical="center"/>
    </xf>
    <xf numFmtId="0" fontId="61" fillId="4" borderId="1" xfId="0" applyFont="1" applyFill="1" applyBorder="1" applyAlignment="1">
      <alignment horizontal="center"/>
    </xf>
    <xf numFmtId="0" fontId="61" fillId="4" borderId="1" xfId="0" applyFont="1" applyFill="1" applyBorder="1" applyAlignment="1">
      <alignment horizontal="center" vertical="center"/>
    </xf>
    <xf numFmtId="14" fontId="61" fillId="4" borderId="3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61" fillId="33" borderId="1" xfId="0" applyFont="1" applyFill="1" applyBorder="1" applyAlignment="1">
      <alignment horizontal="center"/>
    </xf>
    <xf numFmtId="0" fontId="61" fillId="33" borderId="1" xfId="0" applyFont="1" applyFill="1" applyBorder="1" applyAlignment="1">
      <alignment horizontal="center" vertical="center"/>
    </xf>
    <xf numFmtId="0" fontId="61" fillId="33" borderId="0" xfId="0" applyFont="1" applyFill="1" applyAlignment="1">
      <alignment horizontal="center" vertical="center"/>
    </xf>
    <xf numFmtId="14" fontId="61" fillId="33" borderId="3" xfId="0" applyNumberFormat="1" applyFont="1" applyFill="1" applyBorder="1" applyAlignment="1">
      <alignment horizontal="center" vertical="center"/>
    </xf>
    <xf numFmtId="0" fontId="1" fillId="33" borderId="1" xfId="0" applyFont="1" applyFill="1" applyBorder="1" applyAlignment="1">
      <alignment horizontal="center"/>
    </xf>
    <xf numFmtId="0" fontId="1" fillId="33" borderId="1" xfId="0" applyFont="1" applyFill="1" applyBorder="1" applyAlignment="1">
      <alignment horizontal="center" vertical="center"/>
    </xf>
    <xf numFmtId="14" fontId="1" fillId="33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 vertical="center"/>
    </xf>
    <xf numFmtId="14" fontId="1" fillId="5" borderId="3" xfId="0" applyNumberFormat="1" applyFont="1" applyFill="1" applyBorder="1" applyAlignment="1">
      <alignment horizontal="center" vertical="center"/>
    </xf>
    <xf numFmtId="0" fontId="61" fillId="30" borderId="0" xfId="0" applyFont="1" applyFill="1" applyAlignment="1">
      <alignment horizontal="center" vertical="center"/>
    </xf>
    <xf numFmtId="0" fontId="1" fillId="28" borderId="1" xfId="0" applyFont="1" applyFill="1" applyBorder="1" applyAlignment="1">
      <alignment horizontal="center"/>
    </xf>
    <xf numFmtId="0" fontId="1" fillId="28" borderId="1" xfId="0" applyFont="1" applyFill="1" applyBorder="1" applyAlignment="1">
      <alignment horizontal="center" vertical="center"/>
    </xf>
    <xf numFmtId="14" fontId="1" fillId="28" borderId="3" xfId="0" applyNumberFormat="1" applyFont="1" applyFill="1" applyBorder="1" applyAlignment="1">
      <alignment horizontal="center" vertical="center"/>
    </xf>
    <xf numFmtId="14" fontId="1" fillId="7" borderId="3" xfId="0" applyNumberFormat="1" applyFont="1" applyFill="1" applyBorder="1" applyAlignment="1">
      <alignment horizontal="center" vertical="center"/>
    </xf>
    <xf numFmtId="14" fontId="1" fillId="36" borderId="3" xfId="0" applyNumberFormat="1" applyFont="1" applyFill="1" applyBorder="1" applyAlignment="1">
      <alignment horizontal="center" vertical="center"/>
    </xf>
    <xf numFmtId="14" fontId="1" fillId="30" borderId="3" xfId="0" applyNumberFormat="1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14" fontId="1" fillId="26" borderId="3" xfId="0" applyNumberFormat="1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/>
    </xf>
    <xf numFmtId="0" fontId="1" fillId="34" borderId="1" xfId="0" applyFont="1" applyFill="1" applyBorder="1" applyAlignment="1">
      <alignment horizontal="center" vertical="center"/>
    </xf>
    <xf numFmtId="14" fontId="1" fillId="34" borderId="3" xfId="0" applyNumberFormat="1" applyFont="1" applyFill="1" applyBorder="1" applyAlignment="1">
      <alignment horizontal="center" vertical="center"/>
    </xf>
    <xf numFmtId="0" fontId="61" fillId="34" borderId="1" xfId="0" applyFont="1" applyFill="1" applyBorder="1" applyAlignment="1">
      <alignment horizontal="center"/>
    </xf>
    <xf numFmtId="0" fontId="61" fillId="34" borderId="1" xfId="0" applyFont="1" applyFill="1" applyBorder="1" applyAlignment="1">
      <alignment horizontal="center" vertical="center"/>
    </xf>
    <xf numFmtId="14" fontId="61" fillId="34" borderId="3" xfId="0" applyNumberFormat="1" applyFont="1" applyFill="1" applyBorder="1" applyAlignment="1">
      <alignment horizontal="center" vertical="center"/>
    </xf>
    <xf numFmtId="0" fontId="36" fillId="27" borderId="1" xfId="0" applyFont="1" applyFill="1" applyBorder="1" applyAlignment="1">
      <alignment horizontal="center"/>
    </xf>
    <xf numFmtId="0" fontId="36" fillId="27" borderId="1" xfId="0" applyFont="1" applyFill="1" applyBorder="1" applyAlignment="1">
      <alignment horizontal="center" vertical="center"/>
    </xf>
    <xf numFmtId="14" fontId="36" fillId="27" borderId="3" xfId="0" applyNumberFormat="1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14" fontId="1" fillId="37" borderId="3" xfId="0" applyNumberFormat="1" applyFont="1" applyFill="1" applyBorder="1" applyAlignment="1">
      <alignment horizontal="center" vertical="center"/>
    </xf>
    <xf numFmtId="14" fontId="1" fillId="32" borderId="3" xfId="0" applyNumberFormat="1" applyFont="1" applyFill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center" vertical="center"/>
    </xf>
    <xf numFmtId="0" fontId="1" fillId="29" borderId="1" xfId="0" applyFont="1" applyFill="1" applyBorder="1" applyAlignment="1">
      <alignment horizontal="center"/>
    </xf>
    <xf numFmtId="0" fontId="1" fillId="29" borderId="1" xfId="0" applyFont="1" applyFill="1" applyBorder="1" applyAlignment="1">
      <alignment horizontal="center" vertical="center"/>
    </xf>
    <xf numFmtId="14" fontId="1" fillId="29" borderId="3" xfId="0" applyNumberFormat="1" applyFont="1" applyFill="1" applyBorder="1" applyAlignment="1">
      <alignment horizontal="center" vertical="center"/>
    </xf>
    <xf numFmtId="14" fontId="1" fillId="38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61" fillId="4" borderId="3" xfId="0" applyFont="1" applyFill="1" applyBorder="1" applyAlignment="1">
      <alignment horizontal="center" vertical="center"/>
    </xf>
    <xf numFmtId="0" fontId="61" fillId="33" borderId="3" xfId="0" applyFont="1" applyFill="1" applyBorder="1" applyAlignment="1">
      <alignment horizontal="center" vertical="center"/>
    </xf>
    <xf numFmtId="0" fontId="61" fillId="36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1" fillId="33" borderId="3" xfId="0" applyFont="1" applyFill="1" applyBorder="1" applyAlignment="1">
      <alignment horizontal="center" vertical="center"/>
    </xf>
    <xf numFmtId="0" fontId="1" fillId="36" borderId="3" xfId="0" applyFont="1" applyFill="1" applyBorder="1" applyAlignment="1">
      <alignment horizontal="center" vertical="center"/>
    </xf>
    <xf numFmtId="0" fontId="1" fillId="30" borderId="3" xfId="0" applyFont="1" applyFill="1" applyBorder="1" applyAlignment="1">
      <alignment horizontal="center" vertical="center"/>
    </xf>
    <xf numFmtId="0" fontId="1" fillId="26" borderId="3" xfId="0" applyFont="1" applyFill="1" applyBorder="1" applyAlignment="1">
      <alignment horizontal="center" vertical="center"/>
    </xf>
    <xf numFmtId="0" fontId="1" fillId="34" borderId="3" xfId="0" applyFont="1" applyFill="1" applyBorder="1" applyAlignment="1">
      <alignment horizontal="center" vertical="center"/>
    </xf>
    <xf numFmtId="0" fontId="61" fillId="34" borderId="3" xfId="0" applyFont="1" applyFill="1" applyBorder="1" applyAlignment="1">
      <alignment horizontal="center" vertical="center"/>
    </xf>
    <xf numFmtId="0" fontId="36" fillId="27" borderId="3" xfId="0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 vertical="center"/>
    </xf>
    <xf numFmtId="0" fontId="1" fillId="32" borderId="3" xfId="0" applyFont="1" applyFill="1" applyBorder="1" applyAlignment="1">
      <alignment horizontal="center" vertical="center"/>
    </xf>
    <xf numFmtId="0" fontId="1" fillId="29" borderId="3" xfId="0" applyFont="1" applyFill="1" applyBorder="1" applyAlignment="1">
      <alignment horizontal="center" vertical="center"/>
    </xf>
    <xf numFmtId="0" fontId="61" fillId="5" borderId="2" xfId="0" applyFont="1" applyFill="1" applyBorder="1" applyAlignment="1">
      <alignment horizontal="center" vertical="center"/>
    </xf>
    <xf numFmtId="0" fontId="61" fillId="5" borderId="10" xfId="0" applyFont="1" applyFill="1" applyBorder="1" applyAlignment="1">
      <alignment horizontal="center" vertical="center"/>
    </xf>
    <xf numFmtId="0" fontId="0" fillId="31" borderId="0" xfId="0" applyFill="1" applyAlignment="1">
      <alignment horizontal="center" vertical="center"/>
    </xf>
    <xf numFmtId="0" fontId="25" fillId="5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0" fillId="5" borderId="9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top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5" borderId="3" xfId="0" applyNumberFormat="1" applyFill="1" applyBorder="1" applyAlignment="1">
      <alignment horizontal="center"/>
    </xf>
    <xf numFmtId="14" fontId="0" fillId="5" borderId="4" xfId="0" applyNumberFormat="1" applyFill="1" applyBorder="1" applyAlignment="1">
      <alignment horizontal="center"/>
    </xf>
    <xf numFmtId="14" fontId="50" fillId="5" borderId="3" xfId="0" applyNumberFormat="1" applyFont="1" applyFill="1" applyBorder="1" applyAlignment="1">
      <alignment horizontal="center"/>
    </xf>
    <xf numFmtId="14" fontId="50" fillId="5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49" fillId="0" borderId="3" xfId="0" applyFont="1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3" xfId="0" applyFont="1" applyBorder="1" applyAlignment="1">
      <alignment horizontal="center"/>
    </xf>
    <xf numFmtId="0" fontId="49" fillId="0" borderId="4" xfId="0" applyFont="1" applyBorder="1" applyAlignment="1">
      <alignment horizontal="center"/>
    </xf>
    <xf numFmtId="0" fontId="0" fillId="5" borderId="3" xfId="0" quotePrefix="1" applyFill="1" applyBorder="1" applyAlignment="1">
      <alignment horizontal="center" vertical="center"/>
    </xf>
    <xf numFmtId="0" fontId="0" fillId="5" borderId="4" xfId="0" quotePrefix="1" applyFill="1" applyBorder="1" applyAlignment="1">
      <alignment horizontal="center" vertical="center"/>
    </xf>
    <xf numFmtId="14" fontId="51" fillId="5" borderId="3" xfId="0" applyNumberFormat="1" applyFont="1" applyFill="1" applyBorder="1" applyAlignment="1">
      <alignment horizontal="center"/>
    </xf>
    <xf numFmtId="14" fontId="51" fillId="5" borderId="4" xfId="0" applyNumberFormat="1" applyFont="1" applyFill="1" applyBorder="1" applyAlignment="1">
      <alignment horizontal="center"/>
    </xf>
    <xf numFmtId="0" fontId="44" fillId="0" borderId="1" xfId="0" applyFont="1" applyBorder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41" fillId="17" borderId="0" xfId="0" applyFont="1" applyFill="1" applyAlignment="1">
      <alignment horizontal="center" vertical="center" wrapText="1"/>
    </xf>
    <xf numFmtId="0" fontId="0" fillId="5" borderId="19" xfId="0" applyFill="1" applyBorder="1" applyAlignment="1" applyProtection="1">
      <alignment horizontal="center"/>
      <protection locked="0"/>
    </xf>
    <xf numFmtId="0" fontId="24" fillId="5" borderId="19" xfId="0" applyFont="1" applyFill="1" applyBorder="1" applyAlignment="1">
      <alignment horizontal="center" vertical="center"/>
    </xf>
    <xf numFmtId="0" fontId="40" fillId="17" borderId="32" xfId="0" applyFont="1" applyFill="1" applyBorder="1" applyAlignment="1">
      <alignment horizontal="center" vertical="center"/>
    </xf>
    <xf numFmtId="0" fontId="40" fillId="17" borderId="33" xfId="0" applyFont="1" applyFill="1" applyBorder="1" applyAlignment="1">
      <alignment horizontal="center" vertical="center"/>
    </xf>
    <xf numFmtId="0" fontId="40" fillId="17" borderId="34" xfId="0" applyFont="1" applyFill="1" applyBorder="1" applyAlignment="1">
      <alignment horizontal="center" vertical="center"/>
    </xf>
    <xf numFmtId="0" fontId="40" fillId="17" borderId="24" xfId="0" applyFont="1" applyFill="1" applyBorder="1" applyAlignment="1">
      <alignment horizontal="center" vertical="center" wrapText="1"/>
    </xf>
    <xf numFmtId="0" fontId="40" fillId="17" borderId="25" xfId="0" applyFont="1" applyFill="1" applyBorder="1" applyAlignment="1">
      <alignment horizontal="center" vertical="center" wrapText="1"/>
    </xf>
    <xf numFmtId="0" fontId="40" fillId="17" borderId="26" xfId="0" applyFont="1" applyFill="1" applyBorder="1" applyAlignment="1">
      <alignment horizontal="center" vertical="center" wrapText="1"/>
    </xf>
    <xf numFmtId="0" fontId="40" fillId="17" borderId="29" xfId="0" applyFont="1" applyFill="1" applyBorder="1" applyAlignment="1">
      <alignment horizontal="center" vertical="center" wrapText="1"/>
    </xf>
    <xf numFmtId="0" fontId="40" fillId="17" borderId="30" xfId="0" applyFont="1" applyFill="1" applyBorder="1" applyAlignment="1">
      <alignment horizontal="center" vertical="center" wrapText="1"/>
    </xf>
    <xf numFmtId="0" fontId="40" fillId="17" borderId="31" xfId="0" applyFont="1" applyFill="1" applyBorder="1" applyAlignment="1">
      <alignment horizontal="center" vertical="center" wrapText="1"/>
    </xf>
    <xf numFmtId="0" fontId="24" fillId="19" borderId="30" xfId="0" applyFont="1" applyFill="1" applyBorder="1" applyAlignment="1">
      <alignment horizontal="center"/>
    </xf>
    <xf numFmtId="0" fontId="36" fillId="17" borderId="27" xfId="0" applyFont="1" applyFill="1" applyBorder="1" applyAlignment="1">
      <alignment horizontal="center"/>
    </xf>
    <xf numFmtId="0" fontId="36" fillId="17" borderId="0" xfId="0" applyFont="1" applyFill="1" applyAlignment="1">
      <alignment horizontal="center"/>
    </xf>
    <xf numFmtId="0" fontId="36" fillId="17" borderId="28" xfId="0" applyFont="1" applyFill="1" applyBorder="1" applyAlignment="1">
      <alignment horizontal="center"/>
    </xf>
    <xf numFmtId="0" fontId="39" fillId="11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26" fillId="5" borderId="10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3" borderId="3" xfId="0" applyFont="1" applyFill="1" applyBorder="1" applyAlignment="1">
      <alignment horizontal="center" vertical="center" wrapText="1"/>
    </xf>
    <xf numFmtId="0" fontId="24" fillId="3" borderId="11" xfId="0" applyFont="1" applyFill="1" applyBorder="1" applyAlignment="1">
      <alignment horizontal="center" vertical="center" wrapText="1"/>
    </xf>
    <xf numFmtId="0" fontId="24" fillId="3" borderId="4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/>
    </xf>
    <xf numFmtId="0" fontId="7" fillId="14" borderId="3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4" fillId="14" borderId="1" xfId="0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center" vertical="center"/>
    </xf>
    <xf numFmtId="0" fontId="24" fillId="14" borderId="3" xfId="0" applyFont="1" applyFill="1" applyBorder="1" applyAlignment="1">
      <alignment horizontal="left" vertical="center"/>
    </xf>
    <xf numFmtId="0" fontId="24" fillId="14" borderId="4" xfId="0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24" fillId="11" borderId="3" xfId="0" applyFont="1" applyFill="1" applyBorder="1" applyAlignment="1">
      <alignment horizontal="center"/>
    </xf>
    <xf numFmtId="0" fontId="24" fillId="11" borderId="4" xfId="0" applyFont="1" applyFill="1" applyBorder="1" applyAlignment="1">
      <alignment horizontal="center"/>
    </xf>
    <xf numFmtId="0" fontId="18" fillId="11" borderId="5" xfId="0" applyFont="1" applyFill="1" applyBorder="1" applyAlignment="1">
      <alignment horizontal="center" vertical="center" wrapText="1"/>
    </xf>
    <xf numFmtId="0" fontId="18" fillId="11" borderId="0" xfId="0" applyFont="1" applyFill="1" applyAlignment="1">
      <alignment horizontal="center" vertical="center" wrapText="1"/>
    </xf>
    <xf numFmtId="0" fontId="18" fillId="11" borderId="8" xfId="0" applyFont="1" applyFill="1" applyBorder="1" applyAlignment="1">
      <alignment horizontal="center" vertical="center" wrapText="1"/>
    </xf>
    <xf numFmtId="0" fontId="18" fillId="11" borderId="6" xfId="0" applyFont="1" applyFill="1" applyBorder="1" applyAlignment="1">
      <alignment horizontal="center" vertical="center" wrapText="1"/>
    </xf>
    <xf numFmtId="0" fontId="18" fillId="11" borderId="18" xfId="0" applyFont="1" applyFill="1" applyBorder="1" applyAlignment="1">
      <alignment horizontal="center" vertical="center" wrapText="1"/>
    </xf>
    <xf numFmtId="0" fontId="18" fillId="11" borderId="7" xfId="0" applyFont="1" applyFill="1" applyBorder="1" applyAlignment="1">
      <alignment horizontal="center" vertical="center" wrapText="1"/>
    </xf>
    <xf numFmtId="0" fontId="18" fillId="11" borderId="16" xfId="0" applyFont="1" applyFill="1" applyBorder="1" applyAlignment="1">
      <alignment horizontal="center" vertical="center" wrapText="1"/>
    </xf>
    <xf numFmtId="0" fontId="18" fillId="11" borderId="9" xfId="0" applyFont="1" applyFill="1" applyBorder="1" applyAlignment="1">
      <alignment horizontal="center" vertical="center" wrapText="1"/>
    </xf>
    <xf numFmtId="0" fontId="18" fillId="11" borderId="17" xfId="0" applyFont="1" applyFill="1" applyBorder="1" applyAlignment="1">
      <alignment horizontal="center" vertical="center" wrapText="1"/>
    </xf>
    <xf numFmtId="0" fontId="18" fillId="11" borderId="10" xfId="0" applyFont="1" applyFill="1" applyBorder="1" applyAlignment="1">
      <alignment horizontal="center"/>
    </xf>
    <xf numFmtId="0" fontId="27" fillId="11" borderId="3" xfId="0" applyFont="1" applyFill="1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 vertical="center" wrapText="1"/>
    </xf>
    <xf numFmtId="0" fontId="27" fillId="11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/>
    </xf>
    <xf numFmtId="0" fontId="18" fillId="11" borderId="3" xfId="0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18" fillId="11" borderId="4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 wrapText="1"/>
    </xf>
    <xf numFmtId="0" fontId="19" fillId="11" borderId="1" xfId="0" applyFont="1" applyFill="1" applyBorder="1" applyAlignment="1">
      <alignment horizontal="center"/>
    </xf>
    <xf numFmtId="0" fontId="21" fillId="5" borderId="4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1" fillId="5" borderId="12" xfId="0" applyFont="1" applyFill="1" applyBorder="1" applyAlignment="1">
      <alignment horizontal="center" vertical="center" wrapText="1"/>
    </xf>
    <xf numFmtId="0" fontId="21" fillId="5" borderId="2" xfId="0" applyFont="1" applyFill="1" applyBorder="1" applyAlignment="1">
      <alignment horizontal="center" vertical="center" wrapText="1"/>
    </xf>
    <xf numFmtId="0" fontId="21" fillId="5" borderId="10" xfId="0" applyFont="1" applyFill="1" applyBorder="1" applyAlignment="1">
      <alignment horizontal="center" vertical="center" wrapText="1"/>
    </xf>
    <xf numFmtId="0" fontId="39" fillId="11" borderId="16" xfId="0" applyFont="1" applyFill="1" applyBorder="1" applyAlignment="1">
      <alignment horizontal="center" vertical="center"/>
    </xf>
    <xf numFmtId="0" fontId="39" fillId="11" borderId="9" xfId="0" applyFont="1" applyFill="1" applyBorder="1" applyAlignment="1">
      <alignment horizontal="center" vertical="center"/>
    </xf>
    <xf numFmtId="0" fontId="39" fillId="11" borderId="17" xfId="0" applyFont="1" applyFill="1" applyBorder="1" applyAlignment="1">
      <alignment horizontal="center" vertical="center"/>
    </xf>
    <xf numFmtId="0" fontId="39" fillId="11" borderId="6" xfId="0" applyFont="1" applyFill="1" applyBorder="1" applyAlignment="1">
      <alignment horizontal="center" vertical="center"/>
    </xf>
    <xf numFmtId="0" fontId="39" fillId="11" borderId="18" xfId="0" applyFont="1" applyFill="1" applyBorder="1" applyAlignment="1">
      <alignment horizontal="center" vertical="center"/>
    </xf>
    <xf numFmtId="0" fontId="39" fillId="11" borderId="7" xfId="0" applyFont="1" applyFill="1" applyBorder="1" applyAlignment="1">
      <alignment horizontal="center" vertical="center"/>
    </xf>
    <xf numFmtId="0" fontId="21" fillId="5" borderId="3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8" fillId="11" borderId="9" xfId="0" applyFont="1" applyFill="1" applyBorder="1" applyAlignment="1">
      <alignment horizontal="center" vertical="center"/>
    </xf>
    <xf numFmtId="0" fontId="18" fillId="11" borderId="17" xfId="0" applyFont="1" applyFill="1" applyBorder="1" applyAlignment="1">
      <alignment horizontal="center" vertical="center"/>
    </xf>
    <xf numFmtId="0" fontId="18" fillId="11" borderId="18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24" fillId="14" borderId="10" xfId="0" applyFont="1" applyFill="1" applyBorder="1" applyAlignment="1">
      <alignment horizontal="left" vertical="center"/>
    </xf>
    <xf numFmtId="0" fontId="21" fillId="5" borderId="1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3" fillId="11" borderId="35" xfId="0" applyFont="1" applyFill="1" applyBorder="1" applyAlignment="1">
      <alignment horizontal="center" vertical="center"/>
    </xf>
    <xf numFmtId="0" fontId="23" fillId="11" borderId="36" xfId="0" applyFont="1" applyFill="1" applyBorder="1" applyAlignment="1">
      <alignment horizontal="center" vertical="center"/>
    </xf>
    <xf numFmtId="0" fontId="23" fillId="11" borderId="37" xfId="0" applyFont="1" applyFill="1" applyBorder="1" applyAlignment="1">
      <alignment horizontal="center" vertical="center"/>
    </xf>
    <xf numFmtId="0" fontId="23" fillId="11" borderId="38" xfId="0" applyFont="1" applyFill="1" applyBorder="1" applyAlignment="1">
      <alignment horizontal="center" vertical="center"/>
    </xf>
    <xf numFmtId="0" fontId="23" fillId="11" borderId="39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21" fillId="5" borderId="17" xfId="0" applyFont="1" applyFill="1" applyBorder="1" applyAlignment="1">
      <alignment horizontal="center" vertical="center"/>
    </xf>
    <xf numFmtId="0" fontId="21" fillId="5" borderId="12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4" fillId="3" borderId="3" xfId="0" applyFont="1" applyFill="1" applyBorder="1" applyAlignment="1">
      <alignment horizontal="left" vertical="center"/>
    </xf>
    <xf numFmtId="0" fontId="24" fillId="3" borderId="11" xfId="0" applyFont="1" applyFill="1" applyBorder="1" applyAlignment="1">
      <alignment horizontal="left" vertical="center"/>
    </xf>
    <xf numFmtId="0" fontId="24" fillId="3" borderId="4" xfId="0" applyFont="1" applyFill="1" applyBorder="1" applyAlignment="1">
      <alignment horizontal="left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21" fillId="5" borderId="2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8" fillId="11" borderId="16" xfId="0" applyFont="1" applyFill="1" applyBorder="1" applyAlignment="1">
      <alignment horizontal="center" vertical="center"/>
    </xf>
    <xf numFmtId="0" fontId="52" fillId="5" borderId="1" xfId="0" applyFont="1" applyFill="1" applyBorder="1" applyAlignment="1">
      <alignment horizontal="left" vertical="center"/>
    </xf>
    <xf numFmtId="0" fontId="23" fillId="11" borderId="41" xfId="0" applyFont="1" applyFill="1" applyBorder="1" applyAlignment="1">
      <alignment horizontal="center" vertical="center"/>
    </xf>
    <xf numFmtId="0" fontId="23" fillId="11" borderId="42" xfId="0" applyFont="1" applyFill="1" applyBorder="1" applyAlignment="1">
      <alignment horizontal="center" vertical="center"/>
    </xf>
    <xf numFmtId="0" fontId="23" fillId="11" borderId="15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45" fillId="14" borderId="0" xfId="0" applyFont="1" applyFill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34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46" fillId="10" borderId="0" xfId="0" applyFont="1" applyFill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/>
    </xf>
    <xf numFmtId="0" fontId="26" fillId="5" borderId="1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left" vertical="center" wrapText="1"/>
    </xf>
    <xf numFmtId="0" fontId="6" fillId="5" borderId="11" xfId="0" applyFont="1" applyFill="1" applyBorder="1" applyAlignment="1">
      <alignment horizontal="center" vertical="center"/>
    </xf>
    <xf numFmtId="0" fontId="19" fillId="11" borderId="3" xfId="0" applyFont="1" applyFill="1" applyBorder="1" applyAlignment="1">
      <alignment horizontal="center"/>
    </xf>
    <xf numFmtId="0" fontId="19" fillId="11" borderId="11" xfId="0" applyFont="1" applyFill="1" applyBorder="1" applyAlignment="1">
      <alignment horizontal="center"/>
    </xf>
    <xf numFmtId="0" fontId="19" fillId="11" borderId="4" xfId="0" applyFont="1" applyFill="1" applyBorder="1" applyAlignment="1">
      <alignment horizontal="center"/>
    </xf>
    <xf numFmtId="0" fontId="24" fillId="5" borderId="1" xfId="0" applyFont="1" applyFill="1" applyBorder="1" applyAlignment="1">
      <alignment horizontal="left" vertical="center"/>
    </xf>
    <xf numFmtId="0" fontId="28" fillId="5" borderId="1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39" fillId="11" borderId="35" xfId="0" applyFont="1" applyFill="1" applyBorder="1" applyAlignment="1">
      <alignment horizontal="center" vertical="center"/>
    </xf>
    <xf numFmtId="0" fontId="39" fillId="11" borderId="36" xfId="0" applyFont="1" applyFill="1" applyBorder="1" applyAlignment="1">
      <alignment horizontal="center" vertical="center"/>
    </xf>
    <xf numFmtId="0" fontId="39" fillId="11" borderId="37" xfId="0" applyFont="1" applyFill="1" applyBorder="1" applyAlignment="1">
      <alignment horizontal="center" vertical="center"/>
    </xf>
    <xf numFmtId="0" fontId="39" fillId="11" borderId="38" xfId="0" applyFont="1" applyFill="1" applyBorder="1" applyAlignment="1">
      <alignment horizontal="center" vertical="center"/>
    </xf>
    <xf numFmtId="0" fontId="39" fillId="11" borderId="39" xfId="0" applyFont="1" applyFill="1" applyBorder="1" applyAlignment="1">
      <alignment horizontal="center" vertical="center"/>
    </xf>
    <xf numFmtId="0" fontId="39" fillId="11" borderId="40" xfId="0" applyFont="1" applyFill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48" fillId="24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8" fillId="5" borderId="1" xfId="0" quotePrefix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1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14D105"/>
        </patternFill>
      </fill>
    </dxf>
    <dxf>
      <fill>
        <patternFill>
          <bgColor rgb="FF00EA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8370A"/>
      <color rgb="FFFC593E"/>
      <color rgb="FFFCAADB"/>
      <color rgb="FF9905EB"/>
      <color rgb="FFD60093"/>
      <color rgb="FF08EE13"/>
      <color rgb="FFC09200"/>
      <color rgb="FF14D105"/>
      <color rgb="FF00EA00"/>
      <color rgb="FF4E0A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EP 10-077'!Area_de_impressao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2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15.png"/><Relationship Id="rId1" Type="http://schemas.openxmlformats.org/officeDocument/2006/relationships/image" Target="../media/image16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95</xdr:row>
      <xdr:rowOff>0</xdr:rowOff>
    </xdr:from>
    <xdr:to>
      <xdr:col>0</xdr:col>
      <xdr:colOff>9525</xdr:colOff>
      <xdr:row>95</xdr:row>
      <xdr:rowOff>28575</xdr:rowOff>
    </xdr:to>
    <xdr:sp macro="" textlink="">
      <xdr:nvSpPr>
        <xdr:cNvPr id="2" name="AutoShape 205" descr="http://servidor/tecplas/sistema/sistema/imagem/img_transp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7224950"/>
          <a:ext cx="952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9525</xdr:colOff>
      <xdr:row>29</xdr:row>
      <xdr:rowOff>95250</xdr:rowOff>
    </xdr:to>
    <xdr:sp macro="" textlink="">
      <xdr:nvSpPr>
        <xdr:cNvPr id="3" name="AutoShape 578" descr="http://servidor/tecplas/sistema/sistema/imagem/img_transp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848725"/>
          <a:ext cx="9525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3</xdr:row>
          <xdr:rowOff>114300</xdr:rowOff>
        </xdr:from>
        <xdr:to>
          <xdr:col>15</xdr:col>
          <xdr:colOff>190500</xdr:colOff>
          <xdr:row>5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10-069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7</xdr:row>
          <xdr:rowOff>114300</xdr:rowOff>
        </xdr:from>
        <xdr:to>
          <xdr:col>15</xdr:col>
          <xdr:colOff>220980</xdr:colOff>
          <xdr:row>9</xdr:row>
          <xdr:rowOff>83820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10-069 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121920</xdr:colOff>
          <xdr:row>11</xdr:row>
          <xdr:rowOff>114300</xdr:rowOff>
        </xdr:from>
        <xdr:to>
          <xdr:col>25</xdr:col>
          <xdr:colOff>152400</xdr:colOff>
          <xdr:row>13</xdr:row>
          <xdr:rowOff>83820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10-073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60960</xdr:colOff>
          <xdr:row>7</xdr:row>
          <xdr:rowOff>106680</xdr:rowOff>
        </xdr:from>
        <xdr:to>
          <xdr:col>30</xdr:col>
          <xdr:colOff>190500</xdr:colOff>
          <xdr:row>9</xdr:row>
          <xdr:rowOff>76200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5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10-105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144780</xdr:colOff>
          <xdr:row>3</xdr:row>
          <xdr:rowOff>99060</xdr:rowOff>
        </xdr:from>
        <xdr:to>
          <xdr:col>25</xdr:col>
          <xdr:colOff>152400</xdr:colOff>
          <xdr:row>5</xdr:row>
          <xdr:rowOff>68580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10-117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15</xdr:row>
          <xdr:rowOff>106680</xdr:rowOff>
        </xdr:from>
        <xdr:to>
          <xdr:col>15</xdr:col>
          <xdr:colOff>220980</xdr:colOff>
          <xdr:row>17</xdr:row>
          <xdr:rowOff>76200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5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10-118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15</xdr:row>
          <xdr:rowOff>106680</xdr:rowOff>
        </xdr:from>
        <xdr:to>
          <xdr:col>20</xdr:col>
          <xdr:colOff>175260</xdr:colOff>
          <xdr:row>17</xdr:row>
          <xdr:rowOff>83820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5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10-031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3</xdr:row>
          <xdr:rowOff>106680</xdr:rowOff>
        </xdr:from>
        <xdr:to>
          <xdr:col>20</xdr:col>
          <xdr:colOff>182880</xdr:colOff>
          <xdr:row>5</xdr:row>
          <xdr:rowOff>76200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10-053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114300</xdr:rowOff>
        </xdr:from>
        <xdr:to>
          <xdr:col>20</xdr:col>
          <xdr:colOff>175260</xdr:colOff>
          <xdr:row>9</xdr:row>
          <xdr:rowOff>83820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5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10-053 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11</xdr:row>
          <xdr:rowOff>106680</xdr:rowOff>
        </xdr:from>
        <xdr:to>
          <xdr:col>20</xdr:col>
          <xdr:colOff>182880</xdr:colOff>
          <xdr:row>13</xdr:row>
          <xdr:rowOff>76200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5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10-059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11</xdr:row>
          <xdr:rowOff>106680</xdr:rowOff>
        </xdr:from>
        <xdr:to>
          <xdr:col>15</xdr:col>
          <xdr:colOff>228600</xdr:colOff>
          <xdr:row>13</xdr:row>
          <xdr:rowOff>76200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5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10-070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121920</xdr:colOff>
          <xdr:row>7</xdr:row>
          <xdr:rowOff>114300</xdr:rowOff>
        </xdr:from>
        <xdr:to>
          <xdr:col>25</xdr:col>
          <xdr:colOff>152400</xdr:colOff>
          <xdr:row>9</xdr:row>
          <xdr:rowOff>83820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5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10-071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144780</xdr:colOff>
          <xdr:row>15</xdr:row>
          <xdr:rowOff>106680</xdr:rowOff>
        </xdr:from>
        <xdr:to>
          <xdr:col>25</xdr:col>
          <xdr:colOff>182880</xdr:colOff>
          <xdr:row>17</xdr:row>
          <xdr:rowOff>76200</xdr:rowOff>
        </xdr:to>
        <xdr:sp macro="" textlink="">
          <xdr:nvSpPr>
            <xdr:cNvPr id="12306" name="Button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5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10-075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</xdr:colOff>
          <xdr:row>3</xdr:row>
          <xdr:rowOff>121920</xdr:rowOff>
        </xdr:from>
        <xdr:to>
          <xdr:col>30</xdr:col>
          <xdr:colOff>190500</xdr:colOff>
          <xdr:row>5</xdr:row>
          <xdr:rowOff>99060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5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10-075 (2)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101462</xdr:colOff>
      <xdr:row>7</xdr:row>
      <xdr:rowOff>46382</xdr:rowOff>
    </xdr:from>
    <xdr:to>
      <xdr:col>4</xdr:col>
      <xdr:colOff>44312</xdr:colOff>
      <xdr:row>8</xdr:row>
      <xdr:rowOff>160682</xdr:rowOff>
    </xdr:to>
    <xdr:sp macro="" textlink="">
      <xdr:nvSpPr>
        <xdr:cNvPr id="4" name="Seta: para Baix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46897" y="1578665"/>
          <a:ext cx="241024" cy="304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60960</xdr:colOff>
          <xdr:row>11</xdr:row>
          <xdr:rowOff>30480</xdr:rowOff>
        </xdr:from>
        <xdr:to>
          <xdr:col>30</xdr:col>
          <xdr:colOff>182880</xdr:colOff>
          <xdr:row>13</xdr:row>
          <xdr:rowOff>160020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5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10-069 (PPG)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12</xdr:row>
          <xdr:rowOff>7620</xdr:rowOff>
        </xdr:from>
        <xdr:to>
          <xdr:col>6</xdr:col>
          <xdr:colOff>228600</xdr:colOff>
          <xdr:row>14</xdr:row>
          <xdr:rowOff>45720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5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Controle de Revisão: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Rev. 00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107674</xdr:colOff>
      <xdr:row>15</xdr:row>
      <xdr:rowOff>91108</xdr:rowOff>
    </xdr:from>
    <xdr:to>
      <xdr:col>30</xdr:col>
      <xdr:colOff>165653</xdr:colOff>
      <xdr:row>17</xdr:row>
      <xdr:rowOff>99391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866283" y="2956891"/>
          <a:ext cx="803413" cy="389283"/>
        </a:xfrm>
        <a:prstGeom prst="rect">
          <a:avLst/>
        </a:prstGeom>
        <a:solidFill>
          <a:schemeClr val="bg2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002060"/>
              </a:solidFill>
            </a:rPr>
            <a:t>10-077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0</xdr:row>
          <xdr:rowOff>60960</xdr:rowOff>
        </xdr:from>
        <xdr:to>
          <xdr:col>14</xdr:col>
          <xdr:colOff>594360</xdr:colOff>
          <xdr:row>1</xdr:row>
          <xdr:rowOff>160020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28625" y="2152650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47625</xdr:colOff>
      <xdr:row>17</xdr:row>
      <xdr:rowOff>171450</xdr:rowOff>
    </xdr:from>
    <xdr:to>
      <xdr:col>8</xdr:col>
      <xdr:colOff>542584</xdr:colOff>
      <xdr:row>23</xdr:row>
      <xdr:rowOff>47492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6125" y="3590925"/>
          <a:ext cx="2723809" cy="1066667"/>
        </a:xfrm>
        <a:prstGeom prst="rect">
          <a:avLst/>
        </a:prstGeom>
      </xdr:spPr>
    </xdr:pic>
    <xdr:clientData/>
  </xdr:twoCellAnchor>
  <xdr:twoCellAnchor editAs="oneCell">
    <xdr:from>
      <xdr:col>8</xdr:col>
      <xdr:colOff>561975</xdr:colOff>
      <xdr:row>15</xdr:row>
      <xdr:rowOff>152400</xdr:rowOff>
    </xdr:from>
    <xdr:to>
      <xdr:col>11</xdr:col>
      <xdr:colOff>504640</xdr:colOff>
      <xdr:row>23</xdr:row>
      <xdr:rowOff>56960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29325" y="3143250"/>
          <a:ext cx="1476190" cy="152381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3</xdr:row>
      <xdr:rowOff>85725</xdr:rowOff>
    </xdr:from>
    <xdr:to>
      <xdr:col>9</xdr:col>
      <xdr:colOff>171450</xdr:colOff>
      <xdr:row>15</xdr:row>
      <xdr:rowOff>85725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14300" y="762000"/>
          <a:ext cx="6267450" cy="2324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4000">
              <a:solidFill>
                <a:srgbClr val="FF0000"/>
              </a:solidFill>
            </a:rPr>
            <a:t>ACIONAR PROCESSO CASO SEJA NECESSÁRIO USO DESTA MEP.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0</xdr:row>
          <xdr:rowOff>68580</xdr:rowOff>
        </xdr:from>
        <xdr:to>
          <xdr:col>16</xdr:col>
          <xdr:colOff>327660</xdr:colOff>
          <xdr:row>1</xdr:row>
          <xdr:rowOff>137160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7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28625" y="212407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352425</xdr:colOff>
      <xdr:row>4</xdr:row>
      <xdr:rowOff>28575</xdr:rowOff>
    </xdr:from>
    <xdr:to>
      <xdr:col>19</xdr:col>
      <xdr:colOff>133349</xdr:colOff>
      <xdr:row>24</xdr:row>
      <xdr:rowOff>28575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77200" y="876300"/>
          <a:ext cx="3886199" cy="3819525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18</xdr:row>
      <xdr:rowOff>123825</xdr:rowOff>
    </xdr:from>
    <xdr:to>
      <xdr:col>9</xdr:col>
      <xdr:colOff>28231</xdr:colOff>
      <xdr:row>24</xdr:row>
      <xdr:rowOff>28426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33750" y="3505200"/>
          <a:ext cx="2752381" cy="1190476"/>
        </a:xfrm>
        <a:prstGeom prst="rect">
          <a:avLst/>
        </a:prstGeom>
      </xdr:spPr>
    </xdr:pic>
    <xdr:clientData/>
  </xdr:twoCellAnchor>
  <xdr:oneCellAnchor>
    <xdr:from>
      <xdr:col>5</xdr:col>
      <xdr:colOff>314321</xdr:colOff>
      <xdr:row>24</xdr:row>
      <xdr:rowOff>171450</xdr:rowOff>
    </xdr:from>
    <xdr:ext cx="4155497" cy="34278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3524246" y="4838700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5</xdr:col>
      <xdr:colOff>171450</xdr:colOff>
      <xdr:row>22</xdr:row>
      <xdr:rowOff>47625</xdr:rowOff>
    </xdr:from>
    <xdr:to>
      <xdr:col>5</xdr:col>
      <xdr:colOff>314321</xdr:colOff>
      <xdr:row>25</xdr:row>
      <xdr:rowOff>95192</xdr:rowOff>
    </xdr:to>
    <xdr:cxnSp macro="">
      <xdr:nvCxnSpPr>
        <xdr:cNvPr id="8" name="Conector: Angulad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7" idx="1"/>
        </xdr:cNvCxnSpPr>
      </xdr:nvCxnSpPr>
      <xdr:spPr>
        <a:xfrm rot="16200000" flipH="1">
          <a:off x="3076602" y="4562448"/>
          <a:ext cx="752417" cy="142871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45720</xdr:colOff>
          <xdr:row>0</xdr:row>
          <xdr:rowOff>60960</xdr:rowOff>
        </xdr:from>
        <xdr:to>
          <xdr:col>15</xdr:col>
          <xdr:colOff>114300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8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28625" y="212407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190500</xdr:colOff>
      <xdr:row>17</xdr:row>
      <xdr:rowOff>123825</xdr:rowOff>
    </xdr:from>
    <xdr:to>
      <xdr:col>10</xdr:col>
      <xdr:colOff>704439</xdr:colOff>
      <xdr:row>23</xdr:row>
      <xdr:rowOff>37954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0400" y="3448050"/>
          <a:ext cx="3285714" cy="1171429"/>
        </a:xfrm>
        <a:prstGeom prst="rect">
          <a:avLst/>
        </a:prstGeom>
      </xdr:spPr>
    </xdr:pic>
    <xdr:clientData/>
  </xdr:twoCellAnchor>
  <xdr:oneCellAnchor>
    <xdr:from>
      <xdr:col>5</xdr:col>
      <xdr:colOff>361946</xdr:colOff>
      <xdr:row>23</xdr:row>
      <xdr:rowOff>123825</xdr:rowOff>
    </xdr:from>
    <xdr:ext cx="4155497" cy="342786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3371846" y="4705350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5</xdr:col>
      <xdr:colOff>219075</xdr:colOff>
      <xdr:row>21</xdr:row>
      <xdr:rowOff>0</xdr:rowOff>
    </xdr:from>
    <xdr:to>
      <xdr:col>5</xdr:col>
      <xdr:colOff>361946</xdr:colOff>
      <xdr:row>29</xdr:row>
      <xdr:rowOff>47567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CxnSpPr>
          <a:endCxn id="6" idx="1"/>
        </xdr:cNvCxnSpPr>
      </xdr:nvCxnSpPr>
      <xdr:spPr>
        <a:xfrm rot="16200000" flipH="1">
          <a:off x="2924202" y="4429098"/>
          <a:ext cx="752417" cy="142871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868680</xdr:colOff>
          <xdr:row>0</xdr:row>
          <xdr:rowOff>68580</xdr:rowOff>
        </xdr:from>
        <xdr:to>
          <xdr:col>15</xdr:col>
          <xdr:colOff>22860</xdr:colOff>
          <xdr:row>1</xdr:row>
          <xdr:rowOff>137160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9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8625" y="214312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200025</xdr:colOff>
      <xdr:row>17</xdr:row>
      <xdr:rowOff>180975</xdr:rowOff>
    </xdr:from>
    <xdr:to>
      <xdr:col>10</xdr:col>
      <xdr:colOff>606014</xdr:colOff>
      <xdr:row>23</xdr:row>
      <xdr:rowOff>37954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9925" y="3476625"/>
          <a:ext cx="3285714" cy="1171429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16</xdr:row>
      <xdr:rowOff>57150</xdr:rowOff>
    </xdr:from>
    <xdr:to>
      <xdr:col>14</xdr:col>
      <xdr:colOff>304613</xdr:colOff>
      <xdr:row>23</xdr:row>
      <xdr:rowOff>47438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38925" y="3162300"/>
          <a:ext cx="1495238" cy="1495238"/>
        </a:xfrm>
        <a:prstGeom prst="rect">
          <a:avLst/>
        </a:prstGeom>
      </xdr:spPr>
    </xdr:pic>
    <xdr:clientData/>
  </xdr:twoCellAnchor>
  <xdr:oneCellAnchor>
    <xdr:from>
      <xdr:col>5</xdr:col>
      <xdr:colOff>371471</xdr:colOff>
      <xdr:row>23</xdr:row>
      <xdr:rowOff>200025</xdr:rowOff>
    </xdr:from>
    <xdr:ext cx="4155497" cy="342786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3381371" y="4857750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5</xdr:col>
      <xdr:colOff>228600</xdr:colOff>
      <xdr:row>21</xdr:row>
      <xdr:rowOff>76200</xdr:rowOff>
    </xdr:from>
    <xdr:to>
      <xdr:col>5</xdr:col>
      <xdr:colOff>371471</xdr:colOff>
      <xdr:row>29</xdr:row>
      <xdr:rowOff>123767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endCxn id="6" idx="1"/>
        </xdr:cNvCxnSpPr>
      </xdr:nvCxnSpPr>
      <xdr:spPr>
        <a:xfrm rot="16200000" flipH="1">
          <a:off x="2933727" y="4581498"/>
          <a:ext cx="752417" cy="142871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441960</xdr:colOff>
          <xdr:row>0</xdr:row>
          <xdr:rowOff>60960</xdr:rowOff>
        </xdr:from>
        <xdr:to>
          <xdr:col>17</xdr:col>
          <xdr:colOff>449580</xdr:colOff>
          <xdr:row>1</xdr:row>
          <xdr:rowOff>121920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28625" y="2152650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381000</xdr:colOff>
      <xdr:row>2</xdr:row>
      <xdr:rowOff>38100</xdr:rowOff>
    </xdr:from>
    <xdr:to>
      <xdr:col>19</xdr:col>
      <xdr:colOff>447562</xdr:colOff>
      <xdr:row>23</xdr:row>
      <xdr:rowOff>28575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67650" y="466725"/>
          <a:ext cx="3171712" cy="3848100"/>
        </a:xfrm>
        <a:prstGeom prst="rect">
          <a:avLst/>
        </a:prstGeom>
      </xdr:spPr>
    </xdr:pic>
    <xdr:clientData/>
  </xdr:twoCellAnchor>
  <xdr:twoCellAnchor editAs="oneCell">
    <xdr:from>
      <xdr:col>5</xdr:col>
      <xdr:colOff>161925</xdr:colOff>
      <xdr:row>17</xdr:row>
      <xdr:rowOff>28575</xdr:rowOff>
    </xdr:from>
    <xdr:to>
      <xdr:col>11</xdr:col>
      <xdr:colOff>104432</xdr:colOff>
      <xdr:row>23</xdr:row>
      <xdr:rowOff>47476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1825" y="3267075"/>
          <a:ext cx="2742857" cy="1190476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16</xdr:row>
      <xdr:rowOff>133350</xdr:rowOff>
    </xdr:from>
    <xdr:to>
      <xdr:col>14</xdr:col>
      <xdr:colOff>104583</xdr:colOff>
      <xdr:row>23</xdr:row>
      <xdr:rowOff>18894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57900" y="3181350"/>
          <a:ext cx="1533333" cy="1247619"/>
        </a:xfrm>
        <a:prstGeom prst="rect">
          <a:avLst/>
        </a:prstGeom>
      </xdr:spPr>
    </xdr:pic>
    <xdr:clientData/>
  </xdr:twoCellAnchor>
  <xdr:oneCellAnchor>
    <xdr:from>
      <xdr:col>6</xdr:col>
      <xdr:colOff>85724</xdr:colOff>
      <xdr:row>24</xdr:row>
      <xdr:rowOff>85727</xdr:rowOff>
    </xdr:from>
    <xdr:ext cx="4155497" cy="34278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3362324" y="4619627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5</xdr:col>
      <xdr:colOff>219075</xdr:colOff>
      <xdr:row>23</xdr:row>
      <xdr:rowOff>0</xdr:rowOff>
    </xdr:from>
    <xdr:to>
      <xdr:col>6</xdr:col>
      <xdr:colOff>85725</xdr:colOff>
      <xdr:row>25</xdr:row>
      <xdr:rowOff>9469</xdr:rowOff>
    </xdr:to>
    <xdr:cxnSp macro="">
      <xdr:nvCxnSpPr>
        <xdr:cNvPr id="8" name="Conector: Angulad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CxnSpPr>
          <a:endCxn id="7" idx="1"/>
        </xdr:cNvCxnSpPr>
      </xdr:nvCxnSpPr>
      <xdr:spPr>
        <a:xfrm rot="16200000" flipH="1">
          <a:off x="3043265" y="4471960"/>
          <a:ext cx="504769" cy="133350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68580</xdr:rowOff>
        </xdr:from>
        <xdr:to>
          <xdr:col>16</xdr:col>
          <xdr:colOff>373380</xdr:colOff>
          <xdr:row>1</xdr:row>
          <xdr:rowOff>137160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28625" y="2152650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3176</xdr:colOff>
      <xdr:row>3</xdr:row>
      <xdr:rowOff>85725</xdr:rowOff>
    </xdr:from>
    <xdr:to>
      <xdr:col>18</xdr:col>
      <xdr:colOff>568325</xdr:colOff>
      <xdr:row>23</xdr:row>
      <xdr:rowOff>28575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2551" y="752475"/>
          <a:ext cx="4248149" cy="3863975"/>
        </a:xfrm>
        <a:prstGeom prst="rect">
          <a:avLst/>
        </a:prstGeom>
      </xdr:spPr>
    </xdr:pic>
    <xdr:clientData/>
  </xdr:twoCellAnchor>
  <xdr:twoCellAnchor editAs="oneCell">
    <xdr:from>
      <xdr:col>5</xdr:col>
      <xdr:colOff>142875</xdr:colOff>
      <xdr:row>17</xdr:row>
      <xdr:rowOff>0</xdr:rowOff>
    </xdr:from>
    <xdr:to>
      <xdr:col>8</xdr:col>
      <xdr:colOff>523533</xdr:colOff>
      <xdr:row>23</xdr:row>
      <xdr:rowOff>18900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8500" y="3400425"/>
          <a:ext cx="2733333" cy="1200000"/>
        </a:xfrm>
        <a:prstGeom prst="rect">
          <a:avLst/>
        </a:prstGeom>
      </xdr:spPr>
    </xdr:pic>
    <xdr:clientData/>
  </xdr:twoCellAnchor>
  <xdr:twoCellAnchor editAs="oneCell">
    <xdr:from>
      <xdr:col>9</xdr:col>
      <xdr:colOff>76200</xdr:colOff>
      <xdr:row>16</xdr:row>
      <xdr:rowOff>76200</xdr:rowOff>
    </xdr:from>
    <xdr:to>
      <xdr:col>11</xdr:col>
      <xdr:colOff>523690</xdr:colOff>
      <xdr:row>23</xdr:row>
      <xdr:rowOff>18886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0" y="3286125"/>
          <a:ext cx="1476190" cy="1314286"/>
        </a:xfrm>
        <a:prstGeom prst="rect">
          <a:avLst/>
        </a:prstGeom>
      </xdr:spPr>
    </xdr:pic>
    <xdr:clientData/>
  </xdr:twoCellAnchor>
  <xdr:twoCellAnchor editAs="oneCell">
    <xdr:from>
      <xdr:col>9</xdr:col>
      <xdr:colOff>361950</xdr:colOff>
      <xdr:row>23</xdr:row>
      <xdr:rowOff>76200</xdr:rowOff>
    </xdr:from>
    <xdr:to>
      <xdr:col>16</xdr:col>
      <xdr:colOff>513814</xdr:colOff>
      <xdr:row>24</xdr:row>
      <xdr:rowOff>28550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429375" y="4657725"/>
          <a:ext cx="4285714" cy="200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22</xdr:row>
      <xdr:rowOff>209549</xdr:rowOff>
    </xdr:from>
    <xdr:to>
      <xdr:col>9</xdr:col>
      <xdr:colOff>342900</xdr:colOff>
      <xdr:row>23</xdr:row>
      <xdr:rowOff>176199</xdr:rowOff>
    </xdr:to>
    <xdr:cxnSp macro="">
      <xdr:nvCxnSpPr>
        <xdr:cNvPr id="8" name="Conector: Angulad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/>
      </xdr:nvCxnSpPr>
      <xdr:spPr>
        <a:xfrm rot="16200000" flipH="1">
          <a:off x="6226975" y="4574374"/>
          <a:ext cx="185725" cy="18097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323846</xdr:colOff>
      <xdr:row>24</xdr:row>
      <xdr:rowOff>47625</xdr:rowOff>
    </xdr:from>
    <xdr:ext cx="4155497" cy="342786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3467096" y="4876800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5</xdr:col>
      <xdr:colOff>180975</xdr:colOff>
      <xdr:row>21</xdr:row>
      <xdr:rowOff>133350</xdr:rowOff>
    </xdr:from>
    <xdr:to>
      <xdr:col>5</xdr:col>
      <xdr:colOff>323846</xdr:colOff>
      <xdr:row>24</xdr:row>
      <xdr:rowOff>219017</xdr:rowOff>
    </xdr:to>
    <xdr:cxnSp macro="">
      <xdr:nvCxnSpPr>
        <xdr:cNvPr id="10" name="Conector: Angulad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CxnSpPr>
          <a:endCxn id="9" idx="1"/>
        </xdr:cNvCxnSpPr>
      </xdr:nvCxnSpPr>
      <xdr:spPr>
        <a:xfrm rot="16200000" flipH="1">
          <a:off x="3019452" y="4600548"/>
          <a:ext cx="752417" cy="142871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373380</xdr:colOff>
          <xdr:row>0</xdr:row>
          <xdr:rowOff>68580</xdr:rowOff>
        </xdr:from>
        <xdr:to>
          <xdr:col>18</xdr:col>
          <xdr:colOff>381000</xdr:colOff>
          <xdr:row>1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266700</xdr:colOff>
      <xdr:row>15</xdr:row>
      <xdr:rowOff>9525</xdr:rowOff>
    </xdr:from>
    <xdr:to>
      <xdr:col>1</xdr:col>
      <xdr:colOff>552450</xdr:colOff>
      <xdr:row>15</xdr:row>
      <xdr:rowOff>200025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47675" y="292417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161925</xdr:colOff>
      <xdr:row>2</xdr:row>
      <xdr:rowOff>19050</xdr:rowOff>
    </xdr:from>
    <xdr:to>
      <xdr:col>20</xdr:col>
      <xdr:colOff>85237</xdr:colOff>
      <xdr:row>21</xdr:row>
      <xdr:rowOff>123326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76250"/>
          <a:ext cx="3904762" cy="3990476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28</xdr:row>
      <xdr:rowOff>19050</xdr:rowOff>
    </xdr:from>
    <xdr:to>
      <xdr:col>10</xdr:col>
      <xdr:colOff>66332</xdr:colOff>
      <xdr:row>33</xdr:row>
      <xdr:rowOff>123673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0" y="5943600"/>
          <a:ext cx="2742857" cy="1219048"/>
        </a:xfrm>
        <a:prstGeom prst="rect">
          <a:avLst/>
        </a:prstGeom>
      </xdr:spPr>
    </xdr:pic>
    <xdr:clientData/>
  </xdr:twoCellAnchor>
  <xdr:twoCellAnchor>
    <xdr:from>
      <xdr:col>2</xdr:col>
      <xdr:colOff>238125</xdr:colOff>
      <xdr:row>12</xdr:row>
      <xdr:rowOff>47625</xdr:rowOff>
    </xdr:from>
    <xdr:to>
      <xdr:col>2</xdr:col>
      <xdr:colOff>485775</xdr:colOff>
      <xdr:row>15</xdr:row>
      <xdr:rowOff>0</xdr:rowOff>
    </xdr:to>
    <xdr:sp macro="" textlink="">
      <xdr:nvSpPr>
        <xdr:cNvPr id="6" name="Seta: para Baix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066800" y="2590800"/>
          <a:ext cx="247650" cy="571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5</xdr:col>
      <xdr:colOff>266699</xdr:colOff>
      <xdr:row>34</xdr:row>
      <xdr:rowOff>76201</xdr:rowOff>
    </xdr:from>
    <xdr:ext cx="4155497" cy="342786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/>
      </xdr:nvSpPr>
      <xdr:spPr>
        <a:xfrm>
          <a:off x="3276599" y="7391401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6</xdr:col>
      <xdr:colOff>52360</xdr:colOff>
      <xdr:row>32</xdr:row>
      <xdr:rowOff>61939</xdr:rowOff>
    </xdr:from>
    <xdr:to>
      <xdr:col>6</xdr:col>
      <xdr:colOff>185710</xdr:colOff>
      <xdr:row>34</xdr:row>
      <xdr:rowOff>61883</xdr:rowOff>
    </xdr:to>
    <xdr:cxnSp macro="">
      <xdr:nvCxnSpPr>
        <xdr:cNvPr id="9" name="Conector: Angulado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CxnSpPr>
          <a:endCxn id="8" idx="1"/>
        </xdr:cNvCxnSpPr>
      </xdr:nvCxnSpPr>
      <xdr:spPr>
        <a:xfrm rot="16200000" flipH="1">
          <a:off x="3143250" y="7058024"/>
          <a:ext cx="504769" cy="133350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487680</xdr:colOff>
          <xdr:row>0</xdr:row>
          <xdr:rowOff>60960</xdr:rowOff>
        </xdr:from>
        <xdr:to>
          <xdr:col>14</xdr:col>
          <xdr:colOff>556260</xdr:colOff>
          <xdr:row>1</xdr:row>
          <xdr:rowOff>121920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28625" y="212407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238125</xdr:colOff>
      <xdr:row>2</xdr:row>
      <xdr:rowOff>47625</xdr:rowOff>
    </xdr:from>
    <xdr:to>
      <xdr:col>16</xdr:col>
      <xdr:colOff>437737</xdr:colOff>
      <xdr:row>23</xdr:row>
      <xdr:rowOff>28074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pSpPr/>
      </xdr:nvGrpSpPr>
      <xdr:grpSpPr>
        <a:xfrm>
          <a:off x="8069580" y="468630"/>
          <a:ext cx="3401917" cy="3843789"/>
          <a:chOff x="6210300" y="485775"/>
          <a:chExt cx="3304762" cy="4009524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210300" y="485775"/>
            <a:ext cx="3304762" cy="4009524"/>
          </a:xfrm>
          <a:prstGeom prst="rect">
            <a:avLst/>
          </a:prstGeom>
        </xdr:spPr>
      </xdr:pic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E00-000002000000}"/>
              </a:ext>
            </a:extLst>
          </xdr:cNvPr>
          <xdr:cNvSpPr/>
        </xdr:nvSpPr>
        <xdr:spPr>
          <a:xfrm>
            <a:off x="8239125" y="4114800"/>
            <a:ext cx="904875" cy="314325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5</xdr:col>
      <xdr:colOff>152400</xdr:colOff>
      <xdr:row>17</xdr:row>
      <xdr:rowOff>28575</xdr:rowOff>
    </xdr:from>
    <xdr:to>
      <xdr:col>8</xdr:col>
      <xdr:colOff>171111</xdr:colOff>
      <xdr:row>23</xdr:row>
      <xdr:rowOff>28427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3257550"/>
          <a:ext cx="2714286" cy="1180952"/>
        </a:xfrm>
        <a:prstGeom prst="rect">
          <a:avLst/>
        </a:prstGeom>
      </xdr:spPr>
    </xdr:pic>
    <xdr:clientData/>
  </xdr:twoCellAnchor>
  <xdr:twoCellAnchor editAs="oneCell">
    <xdr:from>
      <xdr:col>8</xdr:col>
      <xdr:colOff>323850</xdr:colOff>
      <xdr:row>16</xdr:row>
      <xdr:rowOff>66675</xdr:rowOff>
    </xdr:from>
    <xdr:to>
      <xdr:col>11</xdr:col>
      <xdr:colOff>123642</xdr:colOff>
      <xdr:row>23</xdr:row>
      <xdr:rowOff>18885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67450" y="3105150"/>
          <a:ext cx="1466667" cy="132381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0</xdr:row>
          <xdr:rowOff>60960</xdr:rowOff>
        </xdr:from>
        <xdr:to>
          <xdr:col>18</xdr:col>
          <xdr:colOff>99060</xdr:colOff>
          <xdr:row>1</xdr:row>
          <xdr:rowOff>121920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28625" y="212407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361950</xdr:colOff>
      <xdr:row>2</xdr:row>
      <xdr:rowOff>28575</xdr:rowOff>
    </xdr:from>
    <xdr:to>
      <xdr:col>19</xdr:col>
      <xdr:colOff>561562</xdr:colOff>
      <xdr:row>23</xdr:row>
      <xdr:rowOff>28074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05700" y="457200"/>
          <a:ext cx="3304762" cy="4009524"/>
        </a:xfrm>
        <a:prstGeom prst="rect">
          <a:avLst/>
        </a:prstGeom>
      </xdr:spPr>
    </xdr:pic>
    <xdr:clientData/>
  </xdr:twoCellAnchor>
  <xdr:twoCellAnchor>
    <xdr:from>
      <xdr:col>20</xdr:col>
      <xdr:colOff>257175</xdr:colOff>
      <xdr:row>24</xdr:row>
      <xdr:rowOff>28575</xdr:rowOff>
    </xdr:from>
    <xdr:to>
      <xdr:col>22</xdr:col>
      <xdr:colOff>0</xdr:colOff>
      <xdr:row>25</xdr:row>
      <xdr:rowOff>95250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1115675" y="4714875"/>
          <a:ext cx="962025" cy="31432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95250</xdr:colOff>
      <xdr:row>17</xdr:row>
      <xdr:rowOff>57150</xdr:rowOff>
    </xdr:from>
    <xdr:to>
      <xdr:col>11</xdr:col>
      <xdr:colOff>18706</xdr:colOff>
      <xdr:row>23</xdr:row>
      <xdr:rowOff>37951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05150" y="3286125"/>
          <a:ext cx="2752381" cy="1190476"/>
        </a:xfrm>
        <a:prstGeom prst="rect">
          <a:avLst/>
        </a:prstGeom>
      </xdr:spPr>
    </xdr:pic>
    <xdr:clientData/>
  </xdr:twoCellAnchor>
  <xdr:twoCellAnchor editAs="oneCell">
    <xdr:from>
      <xdr:col>11</xdr:col>
      <xdr:colOff>114300</xdr:colOff>
      <xdr:row>16</xdr:row>
      <xdr:rowOff>104775</xdr:rowOff>
    </xdr:from>
    <xdr:to>
      <xdr:col>14</xdr:col>
      <xdr:colOff>295089</xdr:colOff>
      <xdr:row>23</xdr:row>
      <xdr:rowOff>28410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53125" y="3143250"/>
          <a:ext cx="1485714" cy="1323810"/>
        </a:xfrm>
        <a:prstGeom prst="rect">
          <a:avLst/>
        </a:prstGeom>
      </xdr:spPr>
    </xdr:pic>
    <xdr:clientData/>
  </xdr:twoCellAnchor>
  <xdr:twoCellAnchor>
    <xdr:from>
      <xdr:col>17</xdr:col>
      <xdr:colOff>533400</xdr:colOff>
      <xdr:row>21</xdr:row>
      <xdr:rowOff>104775</xdr:rowOff>
    </xdr:from>
    <xdr:to>
      <xdr:col>19</xdr:col>
      <xdr:colOff>228600</xdr:colOff>
      <xdr:row>22</xdr:row>
      <xdr:rowOff>200025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63100" y="4086225"/>
          <a:ext cx="914400" cy="31432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28574</xdr:colOff>
      <xdr:row>25</xdr:row>
      <xdr:rowOff>76202</xdr:rowOff>
    </xdr:from>
    <xdr:ext cx="4155497" cy="342786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 txBox="1"/>
      </xdr:nvSpPr>
      <xdr:spPr>
        <a:xfrm>
          <a:off x="3305174" y="5010152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5</xdr:col>
      <xdr:colOff>152403</xdr:colOff>
      <xdr:row>22</xdr:row>
      <xdr:rowOff>228602</xdr:rowOff>
    </xdr:from>
    <xdr:to>
      <xdr:col>6</xdr:col>
      <xdr:colOff>28574</xdr:colOff>
      <xdr:row>26</xdr:row>
      <xdr:rowOff>38044</xdr:rowOff>
    </xdr:to>
    <xdr:cxnSp macro="">
      <xdr:nvCxnSpPr>
        <xdr:cNvPr id="10" name="Conector: Angulado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CxnSpPr>
          <a:endCxn id="9" idx="1"/>
        </xdr:cNvCxnSpPr>
      </xdr:nvCxnSpPr>
      <xdr:spPr>
        <a:xfrm rot="16200000" flipH="1">
          <a:off x="2857530" y="4733900"/>
          <a:ext cx="752417" cy="142871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83820</xdr:colOff>
          <xdr:row>0</xdr:row>
          <xdr:rowOff>45720</xdr:rowOff>
        </xdr:from>
        <xdr:to>
          <xdr:col>17</xdr:col>
          <xdr:colOff>152400</xdr:colOff>
          <xdr:row>1</xdr:row>
          <xdr:rowOff>114300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0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428625" y="212407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152400</xdr:colOff>
      <xdr:row>17</xdr:row>
      <xdr:rowOff>66675</xdr:rowOff>
    </xdr:from>
    <xdr:to>
      <xdr:col>10</xdr:col>
      <xdr:colOff>133009</xdr:colOff>
      <xdr:row>23</xdr:row>
      <xdr:rowOff>47480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2800" y="3314700"/>
          <a:ext cx="2723809" cy="1161905"/>
        </a:xfrm>
        <a:prstGeom prst="rect">
          <a:avLst/>
        </a:prstGeom>
      </xdr:spPr>
    </xdr:pic>
    <xdr:clientData/>
  </xdr:twoCellAnchor>
  <xdr:twoCellAnchor>
    <xdr:from>
      <xdr:col>14</xdr:col>
      <xdr:colOff>313205</xdr:colOff>
      <xdr:row>2</xdr:row>
      <xdr:rowOff>64434</xdr:rowOff>
    </xdr:from>
    <xdr:to>
      <xdr:col>20</xdr:col>
      <xdr:colOff>405801</xdr:colOff>
      <xdr:row>23</xdr:row>
      <xdr:rowOff>63373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pSpPr/>
      </xdr:nvGrpSpPr>
      <xdr:grpSpPr>
        <a:xfrm>
          <a:off x="8258960" y="479724"/>
          <a:ext cx="3401581" cy="3989914"/>
          <a:chOff x="7028330" y="483534"/>
          <a:chExt cx="3312046" cy="4008964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028330" y="483534"/>
            <a:ext cx="3312046" cy="4008964"/>
          </a:xfrm>
          <a:prstGeom prst="rect">
            <a:avLst/>
          </a:prstGeom>
        </xdr:spPr>
      </xdr:pic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/>
        </xdr:nvSpPr>
        <xdr:spPr>
          <a:xfrm>
            <a:off x="9020175" y="4105275"/>
            <a:ext cx="1038225" cy="333375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oneCellAnchor>
    <xdr:from>
      <xdr:col>5</xdr:col>
      <xdr:colOff>333371</xdr:colOff>
      <xdr:row>23</xdr:row>
      <xdr:rowOff>200025</xdr:rowOff>
    </xdr:from>
    <xdr:ext cx="4155497" cy="342786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 txBox="1"/>
      </xdr:nvSpPr>
      <xdr:spPr>
        <a:xfrm>
          <a:off x="3533771" y="4638675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5</xdr:col>
      <xdr:colOff>190500</xdr:colOff>
      <xdr:row>21</xdr:row>
      <xdr:rowOff>76200</xdr:rowOff>
    </xdr:from>
    <xdr:to>
      <xdr:col>5</xdr:col>
      <xdr:colOff>333371</xdr:colOff>
      <xdr:row>29</xdr:row>
      <xdr:rowOff>123767</xdr:rowOff>
    </xdr:to>
    <xdr:cxnSp macro="">
      <xdr:nvCxnSpPr>
        <xdr:cNvPr id="10" name="Conector: Angulado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CxnSpPr>
          <a:endCxn id="9" idx="1"/>
        </xdr:cNvCxnSpPr>
      </xdr:nvCxnSpPr>
      <xdr:spPr>
        <a:xfrm rot="16200000" flipH="1">
          <a:off x="3086127" y="4362423"/>
          <a:ext cx="752417" cy="142871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91</xdr:row>
      <xdr:rowOff>0</xdr:rowOff>
    </xdr:from>
    <xdr:to>
      <xdr:col>0</xdr:col>
      <xdr:colOff>9525</xdr:colOff>
      <xdr:row>91</xdr:row>
      <xdr:rowOff>28575</xdr:rowOff>
    </xdr:to>
    <xdr:sp macro="" textlink="">
      <xdr:nvSpPr>
        <xdr:cNvPr id="2" name="AutoShape 205" descr="http://servidor/tecplas/sistema/sistema/imagem/img_transp.gif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45624750"/>
          <a:ext cx="952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9525</xdr:colOff>
      <xdr:row>29</xdr:row>
      <xdr:rowOff>95250</xdr:rowOff>
    </xdr:to>
    <xdr:sp macro="" textlink="">
      <xdr:nvSpPr>
        <xdr:cNvPr id="3" name="AutoShape 578" descr="http://servidor/tecplas/sistema/sistema/imagem/img_transp.gif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8848725"/>
          <a:ext cx="9525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152400</xdr:colOff>
      <xdr:row>16</xdr:row>
      <xdr:rowOff>76200</xdr:rowOff>
    </xdr:from>
    <xdr:ext cx="3276190" cy="1180952"/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971800"/>
          <a:ext cx="3276190" cy="1180952"/>
        </a:xfrm>
        <a:prstGeom prst="rect">
          <a:avLst/>
        </a:prstGeom>
      </xdr:spPr>
    </xdr:pic>
    <xdr:clientData/>
  </xdr:oneCellAnchor>
  <xdr:twoCellAnchor editAs="oneCell">
    <xdr:from>
      <xdr:col>23</xdr:col>
      <xdr:colOff>152400</xdr:colOff>
      <xdr:row>13</xdr:row>
      <xdr:rowOff>57150</xdr:rowOff>
    </xdr:from>
    <xdr:to>
      <xdr:col>28</xdr:col>
      <xdr:colOff>22434</xdr:colOff>
      <xdr:row>16</xdr:row>
      <xdr:rowOff>98983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25200" y="2381250"/>
          <a:ext cx="3409524" cy="6190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10</xdr:row>
          <xdr:rowOff>152400</xdr:rowOff>
        </xdr:from>
        <xdr:to>
          <xdr:col>9</xdr:col>
          <xdr:colOff>441960</xdr:colOff>
          <xdr:row>13</xdr:row>
          <xdr:rowOff>22860</xdr:rowOff>
        </xdr:to>
        <xdr:sp macro="" textlink="">
          <xdr:nvSpPr>
            <xdr:cNvPr id="67597" name="Button 13" hidden="1">
              <a:extLst>
                <a:ext uri="{63B3BB69-23CF-44E3-9099-C40C66FF867C}">
                  <a14:compatExt spid="_x0000_s67597"/>
                </a:ext>
                <a:ext uri="{FF2B5EF4-FFF2-40B4-BE49-F238E27FC236}">
                  <a16:creationId xmlns:a16="http://schemas.microsoft.com/office/drawing/2014/main" id="{00000000-0008-0000-1200-00000D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8358715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99060</xdr:colOff>
          <xdr:row>0</xdr:row>
          <xdr:rowOff>30480</xdr:rowOff>
        </xdr:from>
        <xdr:to>
          <xdr:col>34</xdr:col>
          <xdr:colOff>350520</xdr:colOff>
          <xdr:row>1</xdr:row>
          <xdr:rowOff>121920</xdr:rowOff>
        </xdr:to>
        <xdr:sp macro="" textlink="">
          <xdr:nvSpPr>
            <xdr:cNvPr id="67598" name="Button 14" hidden="1">
              <a:extLst>
                <a:ext uri="{63B3BB69-23CF-44E3-9099-C40C66FF867C}">
                  <a14:compatExt spid="_x0000_s67598"/>
                </a:ext>
                <a:ext uri="{FF2B5EF4-FFF2-40B4-BE49-F238E27FC236}">
                  <a16:creationId xmlns:a16="http://schemas.microsoft.com/office/drawing/2014/main" id="{00000000-0008-0000-1200-00000E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xdr:oneCellAnchor>
    <xdr:from>
      <xdr:col>40</xdr:col>
      <xdr:colOff>152400</xdr:colOff>
      <xdr:row>16</xdr:row>
      <xdr:rowOff>76200</xdr:rowOff>
    </xdr:from>
    <xdr:ext cx="3276190" cy="1180952"/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73200" y="2971800"/>
          <a:ext cx="3276190" cy="1180952"/>
        </a:xfrm>
        <a:prstGeom prst="rect">
          <a:avLst/>
        </a:prstGeom>
      </xdr:spPr>
    </xdr:pic>
    <xdr:clientData/>
  </xdr:oneCellAnchor>
  <xdr:oneCellAnchor>
    <xdr:from>
      <xdr:col>40</xdr:col>
      <xdr:colOff>152400</xdr:colOff>
      <xdr:row>13</xdr:row>
      <xdr:rowOff>57150</xdr:rowOff>
    </xdr:from>
    <xdr:ext cx="3409524" cy="619048"/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73200" y="2381250"/>
          <a:ext cx="3409524" cy="61904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99060</xdr:colOff>
          <xdr:row>0</xdr:row>
          <xdr:rowOff>30480</xdr:rowOff>
        </xdr:from>
        <xdr:to>
          <xdr:col>51</xdr:col>
          <xdr:colOff>350520</xdr:colOff>
          <xdr:row>1</xdr:row>
          <xdr:rowOff>121920</xdr:rowOff>
        </xdr:to>
        <xdr:sp macro="" textlink="">
          <xdr:nvSpPr>
            <xdr:cNvPr id="67599" name="Button 15" hidden="1">
              <a:extLst>
                <a:ext uri="{63B3BB69-23CF-44E3-9099-C40C66FF867C}">
                  <a14:compatExt spid="_x0000_s67599"/>
                </a:ext>
                <a:ext uri="{FF2B5EF4-FFF2-40B4-BE49-F238E27FC236}">
                  <a16:creationId xmlns:a16="http://schemas.microsoft.com/office/drawing/2014/main" id="{00000000-0008-0000-1200-00000F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5</xdr:row>
          <xdr:rowOff>45720</xdr:rowOff>
        </xdr:from>
        <xdr:to>
          <xdr:col>3</xdr:col>
          <xdr:colOff>541020</xdr:colOff>
          <xdr:row>6</xdr:row>
          <xdr:rowOff>114300</xdr:rowOff>
        </xdr:to>
        <xdr:sp macro="" textlink="">
          <xdr:nvSpPr>
            <xdr:cNvPr id="67600" name="Button 16" hidden="1">
              <a:extLst>
                <a:ext uri="{63B3BB69-23CF-44E3-9099-C40C66FF867C}">
                  <a14:compatExt spid="_x0000_s67600"/>
                </a:ext>
                <a:ext uri="{FF2B5EF4-FFF2-40B4-BE49-F238E27FC236}">
                  <a16:creationId xmlns:a16="http://schemas.microsoft.com/office/drawing/2014/main" id="{00000000-0008-0000-1200-000010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1453048</a:t>
              </a:r>
            </a:p>
          </xdr:txBody>
        </xdr:sp>
        <xdr:clientData fPrintsWithSheet="0"/>
      </xdr:twoCellAnchor>
    </mc:Choice>
    <mc:Fallback/>
  </mc:AlternateContent>
  <xdr:oneCellAnchor>
    <xdr:from>
      <xdr:col>58</xdr:col>
      <xdr:colOff>152400</xdr:colOff>
      <xdr:row>16</xdr:row>
      <xdr:rowOff>76200</xdr:rowOff>
    </xdr:from>
    <xdr:ext cx="3276190" cy="1180952"/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8400" y="2971800"/>
          <a:ext cx="3276190" cy="1180952"/>
        </a:xfrm>
        <a:prstGeom prst="rect">
          <a:avLst/>
        </a:prstGeom>
      </xdr:spPr>
    </xdr:pic>
    <xdr:clientData/>
  </xdr:oneCellAnchor>
  <xdr:oneCellAnchor>
    <xdr:from>
      <xdr:col>58</xdr:col>
      <xdr:colOff>152400</xdr:colOff>
      <xdr:row>13</xdr:row>
      <xdr:rowOff>57150</xdr:rowOff>
    </xdr:from>
    <xdr:ext cx="3409524" cy="619048"/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298400" y="2381250"/>
          <a:ext cx="3409524" cy="61904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99060</xdr:colOff>
          <xdr:row>0</xdr:row>
          <xdr:rowOff>30480</xdr:rowOff>
        </xdr:from>
        <xdr:to>
          <xdr:col>69</xdr:col>
          <xdr:colOff>350520</xdr:colOff>
          <xdr:row>1</xdr:row>
          <xdr:rowOff>121920</xdr:rowOff>
        </xdr:to>
        <xdr:sp macro="" textlink="">
          <xdr:nvSpPr>
            <xdr:cNvPr id="67601" name="Button 17" hidden="1">
              <a:extLst>
                <a:ext uri="{63B3BB69-23CF-44E3-9099-C40C66FF867C}">
                  <a14:compatExt spid="_x0000_s67601"/>
                </a:ext>
                <a:ext uri="{FF2B5EF4-FFF2-40B4-BE49-F238E27FC236}">
                  <a16:creationId xmlns:a16="http://schemas.microsoft.com/office/drawing/2014/main" id="{00000000-0008-0000-1200-00001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10</xdr:row>
          <xdr:rowOff>45720</xdr:rowOff>
        </xdr:from>
        <xdr:to>
          <xdr:col>3</xdr:col>
          <xdr:colOff>525780</xdr:colOff>
          <xdr:row>11</xdr:row>
          <xdr:rowOff>121920</xdr:rowOff>
        </xdr:to>
        <xdr:sp macro="" textlink="">
          <xdr:nvSpPr>
            <xdr:cNvPr id="67602" name="Button 18" hidden="1">
              <a:extLst>
                <a:ext uri="{63B3BB69-23CF-44E3-9099-C40C66FF867C}">
                  <a14:compatExt spid="_x0000_s67602"/>
                </a:ext>
                <a:ext uri="{FF2B5EF4-FFF2-40B4-BE49-F238E27FC236}">
                  <a16:creationId xmlns:a16="http://schemas.microsoft.com/office/drawing/2014/main" id="{00000000-0008-0000-1200-00001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1452801</a:t>
              </a:r>
            </a:p>
          </xdr:txBody>
        </xdr:sp>
        <xdr:clientData fPrintsWithSheet="0"/>
      </xdr:twoCellAnchor>
    </mc:Choice>
    <mc:Fallback/>
  </mc:AlternateContent>
  <xdr:oneCellAnchor>
    <xdr:from>
      <xdr:col>76</xdr:col>
      <xdr:colOff>152400</xdr:colOff>
      <xdr:row>16</xdr:row>
      <xdr:rowOff>76200</xdr:rowOff>
    </xdr:from>
    <xdr:ext cx="3276190" cy="1180952"/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57025" y="2971800"/>
          <a:ext cx="3276190" cy="1180952"/>
        </a:xfrm>
        <a:prstGeom prst="rect">
          <a:avLst/>
        </a:prstGeom>
      </xdr:spPr>
    </xdr:pic>
    <xdr:clientData/>
  </xdr:oneCellAnchor>
  <xdr:oneCellAnchor>
    <xdr:from>
      <xdr:col>76</xdr:col>
      <xdr:colOff>152400</xdr:colOff>
      <xdr:row>13</xdr:row>
      <xdr:rowOff>57150</xdr:rowOff>
    </xdr:from>
    <xdr:ext cx="3409524" cy="619048"/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157025" y="2381250"/>
          <a:ext cx="3409524" cy="61904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99060</xdr:colOff>
          <xdr:row>0</xdr:row>
          <xdr:rowOff>30480</xdr:rowOff>
        </xdr:from>
        <xdr:to>
          <xdr:col>87</xdr:col>
          <xdr:colOff>350520</xdr:colOff>
          <xdr:row>1</xdr:row>
          <xdr:rowOff>121920</xdr:rowOff>
        </xdr:to>
        <xdr:sp macro="" textlink="">
          <xdr:nvSpPr>
            <xdr:cNvPr id="67603" name="Button 19" hidden="1">
              <a:extLst>
                <a:ext uri="{63B3BB69-23CF-44E3-9099-C40C66FF867C}">
                  <a14:compatExt spid="_x0000_s67603"/>
                </a:ext>
                <a:ext uri="{FF2B5EF4-FFF2-40B4-BE49-F238E27FC236}">
                  <a16:creationId xmlns:a16="http://schemas.microsoft.com/office/drawing/2014/main" id="{00000000-0008-0000-1200-00001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15</xdr:row>
          <xdr:rowOff>60960</xdr:rowOff>
        </xdr:from>
        <xdr:to>
          <xdr:col>3</xdr:col>
          <xdr:colOff>518160</xdr:colOff>
          <xdr:row>16</xdr:row>
          <xdr:rowOff>121920</xdr:rowOff>
        </xdr:to>
        <xdr:sp macro="" textlink="">
          <xdr:nvSpPr>
            <xdr:cNvPr id="67604" name="Button 20" hidden="1">
              <a:extLst>
                <a:ext uri="{63B3BB69-23CF-44E3-9099-C40C66FF867C}">
                  <a14:compatExt spid="_x0000_s67604"/>
                </a:ext>
                <a:ext uri="{FF2B5EF4-FFF2-40B4-BE49-F238E27FC236}">
                  <a16:creationId xmlns:a16="http://schemas.microsoft.com/office/drawing/2014/main" id="{00000000-0008-0000-1200-00001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1452969</a:t>
              </a:r>
            </a:p>
            <a:p>
              <a:pPr algn="ctr" rtl="0">
                <a:defRPr sz="1000"/>
              </a:pPr>
              <a:endParaRPr lang="pt-BR" sz="1100" b="1" i="0" u="none" strike="noStrike" baseline="0">
                <a:solidFill>
                  <a:srgbClr val="00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96</xdr:col>
      <xdr:colOff>152400</xdr:colOff>
      <xdr:row>16</xdr:row>
      <xdr:rowOff>76200</xdr:rowOff>
    </xdr:from>
    <xdr:ext cx="3276190" cy="1180952"/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15650" y="2971800"/>
          <a:ext cx="3276190" cy="1180952"/>
        </a:xfrm>
        <a:prstGeom prst="rect">
          <a:avLst/>
        </a:prstGeom>
      </xdr:spPr>
    </xdr:pic>
    <xdr:clientData/>
  </xdr:oneCellAnchor>
  <xdr:oneCellAnchor>
    <xdr:from>
      <xdr:col>96</xdr:col>
      <xdr:colOff>152400</xdr:colOff>
      <xdr:row>13</xdr:row>
      <xdr:rowOff>57150</xdr:rowOff>
    </xdr:from>
    <xdr:ext cx="3409524" cy="619048"/>
    <xdr:pic>
      <xdr:nvPicPr>
        <xdr:cNvPr id="65" name="Imagem 64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015650" y="2381250"/>
          <a:ext cx="3409524" cy="61904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99060</xdr:colOff>
          <xdr:row>0</xdr:row>
          <xdr:rowOff>30480</xdr:rowOff>
        </xdr:from>
        <xdr:to>
          <xdr:col>107</xdr:col>
          <xdr:colOff>350520</xdr:colOff>
          <xdr:row>1</xdr:row>
          <xdr:rowOff>121920</xdr:rowOff>
        </xdr:to>
        <xdr:sp macro="" textlink="">
          <xdr:nvSpPr>
            <xdr:cNvPr id="67605" name="Button 21" hidden="1">
              <a:extLst>
                <a:ext uri="{63B3BB69-23CF-44E3-9099-C40C66FF867C}">
                  <a14:compatExt spid="_x0000_s67605"/>
                </a:ext>
                <a:ext uri="{FF2B5EF4-FFF2-40B4-BE49-F238E27FC236}">
                  <a16:creationId xmlns:a16="http://schemas.microsoft.com/office/drawing/2014/main" id="{00000000-0008-0000-1200-00001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5</xdr:row>
          <xdr:rowOff>45720</xdr:rowOff>
        </xdr:from>
        <xdr:to>
          <xdr:col>6</xdr:col>
          <xdr:colOff>480060</xdr:colOff>
          <xdr:row>6</xdr:row>
          <xdr:rowOff>121920</xdr:rowOff>
        </xdr:to>
        <xdr:sp macro="" textlink="">
          <xdr:nvSpPr>
            <xdr:cNvPr id="67606" name="Button 22" hidden="1">
              <a:extLst>
                <a:ext uri="{63B3BB69-23CF-44E3-9099-C40C66FF867C}">
                  <a14:compatExt spid="_x0000_s67606"/>
                </a:ext>
                <a:ext uri="{FF2B5EF4-FFF2-40B4-BE49-F238E27FC236}">
                  <a16:creationId xmlns:a16="http://schemas.microsoft.com/office/drawing/2014/main" id="{00000000-0008-0000-1200-00001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1452967</a:t>
              </a:r>
            </a:p>
          </xdr:txBody>
        </xdr:sp>
        <xdr:clientData fPrintsWithSheet="0"/>
      </xdr:twoCellAnchor>
    </mc:Choice>
    <mc:Fallback/>
  </mc:AlternateContent>
  <xdr:oneCellAnchor>
    <xdr:from>
      <xdr:col>116</xdr:col>
      <xdr:colOff>152400</xdr:colOff>
      <xdr:row>16</xdr:row>
      <xdr:rowOff>76200</xdr:rowOff>
    </xdr:from>
    <xdr:ext cx="3276190" cy="1180952"/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179200" y="2971800"/>
          <a:ext cx="3276190" cy="1180952"/>
        </a:xfrm>
        <a:prstGeom prst="rect">
          <a:avLst/>
        </a:prstGeom>
      </xdr:spPr>
    </xdr:pic>
    <xdr:clientData/>
  </xdr:oneCellAnchor>
  <xdr:oneCellAnchor>
    <xdr:from>
      <xdr:col>116</xdr:col>
      <xdr:colOff>152400</xdr:colOff>
      <xdr:row>13</xdr:row>
      <xdr:rowOff>57150</xdr:rowOff>
    </xdr:from>
    <xdr:ext cx="3409524" cy="619048"/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179200" y="2381250"/>
          <a:ext cx="3409524" cy="61904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126</xdr:col>
          <xdr:colOff>99060</xdr:colOff>
          <xdr:row>0</xdr:row>
          <xdr:rowOff>30480</xdr:rowOff>
        </xdr:from>
        <xdr:to>
          <xdr:col>127</xdr:col>
          <xdr:colOff>350520</xdr:colOff>
          <xdr:row>1</xdr:row>
          <xdr:rowOff>121920</xdr:rowOff>
        </xdr:to>
        <xdr:sp macro="" textlink="">
          <xdr:nvSpPr>
            <xdr:cNvPr id="67607" name="Button 23" hidden="1">
              <a:extLst>
                <a:ext uri="{63B3BB69-23CF-44E3-9099-C40C66FF867C}">
                  <a14:compatExt spid="_x0000_s67607"/>
                </a:ext>
                <a:ext uri="{FF2B5EF4-FFF2-40B4-BE49-F238E27FC236}">
                  <a16:creationId xmlns:a16="http://schemas.microsoft.com/office/drawing/2014/main" id="{00000000-0008-0000-1200-00001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15</xdr:row>
          <xdr:rowOff>45720</xdr:rowOff>
        </xdr:from>
        <xdr:to>
          <xdr:col>6</xdr:col>
          <xdr:colOff>487680</xdr:colOff>
          <xdr:row>16</xdr:row>
          <xdr:rowOff>121920</xdr:rowOff>
        </xdr:to>
        <xdr:sp macro="" textlink="">
          <xdr:nvSpPr>
            <xdr:cNvPr id="67609" name="Button 25" hidden="1">
              <a:extLst>
                <a:ext uri="{63B3BB69-23CF-44E3-9099-C40C66FF867C}">
                  <a14:compatExt spid="_x0000_s67609"/>
                </a:ext>
                <a:ext uri="{FF2B5EF4-FFF2-40B4-BE49-F238E27FC236}">
                  <a16:creationId xmlns:a16="http://schemas.microsoft.com/office/drawing/2014/main" id="{00000000-0008-0000-1200-00001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9504711</a:t>
              </a:r>
            </a:p>
          </xdr:txBody>
        </xdr:sp>
        <xdr:clientData fPrintsWithSheet="0"/>
      </xdr:twoCellAnchor>
    </mc:Choice>
    <mc:Fallback/>
  </mc:AlternateContent>
  <xdr:oneCellAnchor>
    <xdr:from>
      <xdr:col>134</xdr:col>
      <xdr:colOff>152400</xdr:colOff>
      <xdr:row>16</xdr:row>
      <xdr:rowOff>76200</xdr:rowOff>
    </xdr:from>
    <xdr:ext cx="3276190" cy="1180952"/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342750" y="2971800"/>
          <a:ext cx="3276190" cy="1180952"/>
        </a:xfrm>
        <a:prstGeom prst="rect">
          <a:avLst/>
        </a:prstGeom>
      </xdr:spPr>
    </xdr:pic>
    <xdr:clientData/>
  </xdr:oneCellAnchor>
  <xdr:oneCellAnchor>
    <xdr:from>
      <xdr:col>134</xdr:col>
      <xdr:colOff>152400</xdr:colOff>
      <xdr:row>13</xdr:row>
      <xdr:rowOff>57150</xdr:rowOff>
    </xdr:from>
    <xdr:ext cx="3409524" cy="619048"/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342750" y="2381250"/>
          <a:ext cx="3409524" cy="61904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144</xdr:col>
          <xdr:colOff>99060</xdr:colOff>
          <xdr:row>0</xdr:row>
          <xdr:rowOff>30480</xdr:rowOff>
        </xdr:from>
        <xdr:to>
          <xdr:col>145</xdr:col>
          <xdr:colOff>350520</xdr:colOff>
          <xdr:row>1</xdr:row>
          <xdr:rowOff>121920</xdr:rowOff>
        </xdr:to>
        <xdr:sp macro="" textlink="">
          <xdr:nvSpPr>
            <xdr:cNvPr id="67610" name="Button 26" hidden="1">
              <a:extLst>
                <a:ext uri="{63B3BB69-23CF-44E3-9099-C40C66FF867C}">
                  <a14:compatExt spid="_x0000_s67610"/>
                </a:ext>
                <a:ext uri="{FF2B5EF4-FFF2-40B4-BE49-F238E27FC236}">
                  <a16:creationId xmlns:a16="http://schemas.microsoft.com/office/drawing/2014/main" id="{00000000-0008-0000-1200-00001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5</xdr:row>
          <xdr:rowOff>60960</xdr:rowOff>
        </xdr:from>
        <xdr:to>
          <xdr:col>9</xdr:col>
          <xdr:colOff>426720</xdr:colOff>
          <xdr:row>6</xdr:row>
          <xdr:rowOff>106680</xdr:rowOff>
        </xdr:to>
        <xdr:sp macro="" textlink="">
          <xdr:nvSpPr>
            <xdr:cNvPr id="67611" name="Button 27" hidden="1">
              <a:extLst>
                <a:ext uri="{63B3BB69-23CF-44E3-9099-C40C66FF867C}">
                  <a14:compatExt spid="_x0000_s67611"/>
                </a:ext>
                <a:ext uri="{FF2B5EF4-FFF2-40B4-BE49-F238E27FC236}">
                  <a16:creationId xmlns:a16="http://schemas.microsoft.com/office/drawing/2014/main" id="{00000000-0008-0000-1200-00001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1452987</a:t>
              </a:r>
            </a:p>
          </xdr:txBody>
        </xdr:sp>
        <xdr:clientData fPrintsWithSheet="0"/>
      </xdr:twoCellAnchor>
    </mc:Choice>
    <mc:Fallback/>
  </mc:AlternateContent>
  <xdr:oneCellAnchor>
    <xdr:from>
      <xdr:col>154</xdr:col>
      <xdr:colOff>152400</xdr:colOff>
      <xdr:row>16</xdr:row>
      <xdr:rowOff>76200</xdr:rowOff>
    </xdr:from>
    <xdr:ext cx="3276190" cy="1180952"/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87100" y="2971800"/>
          <a:ext cx="3276190" cy="1180952"/>
        </a:xfrm>
        <a:prstGeom prst="rect">
          <a:avLst/>
        </a:prstGeom>
      </xdr:spPr>
    </xdr:pic>
    <xdr:clientData/>
  </xdr:oneCellAnchor>
  <xdr:oneCellAnchor>
    <xdr:from>
      <xdr:col>154</xdr:col>
      <xdr:colOff>152400</xdr:colOff>
      <xdr:row>13</xdr:row>
      <xdr:rowOff>57150</xdr:rowOff>
    </xdr:from>
    <xdr:ext cx="3409524" cy="619048"/>
    <xdr:pic>
      <xdr:nvPicPr>
        <xdr:cNvPr id="81" name="Imagem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287100" y="2381250"/>
          <a:ext cx="3409524" cy="61904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164</xdr:col>
          <xdr:colOff>99060</xdr:colOff>
          <xdr:row>0</xdr:row>
          <xdr:rowOff>30480</xdr:rowOff>
        </xdr:from>
        <xdr:to>
          <xdr:col>165</xdr:col>
          <xdr:colOff>350520</xdr:colOff>
          <xdr:row>1</xdr:row>
          <xdr:rowOff>121920</xdr:rowOff>
        </xdr:to>
        <xdr:sp macro="" textlink="">
          <xdr:nvSpPr>
            <xdr:cNvPr id="67612" name="Button 28" hidden="1">
              <a:extLst>
                <a:ext uri="{63B3BB69-23CF-44E3-9099-C40C66FF867C}">
                  <a14:compatExt spid="_x0000_s67612"/>
                </a:ext>
                <a:ext uri="{FF2B5EF4-FFF2-40B4-BE49-F238E27FC236}">
                  <a16:creationId xmlns:a16="http://schemas.microsoft.com/office/drawing/2014/main" id="{00000000-0008-0000-1200-00001C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16</xdr:row>
          <xdr:rowOff>7620</xdr:rowOff>
        </xdr:from>
        <xdr:to>
          <xdr:col>9</xdr:col>
          <xdr:colOff>411480</xdr:colOff>
          <xdr:row>18</xdr:row>
          <xdr:rowOff>38100</xdr:rowOff>
        </xdr:to>
        <xdr:sp macro="" textlink="">
          <xdr:nvSpPr>
            <xdr:cNvPr id="67613" name="Button 29" hidden="1">
              <a:extLst>
                <a:ext uri="{63B3BB69-23CF-44E3-9099-C40C66FF867C}">
                  <a14:compatExt spid="_x0000_s67613"/>
                </a:ext>
                <a:ext uri="{FF2B5EF4-FFF2-40B4-BE49-F238E27FC236}">
                  <a16:creationId xmlns:a16="http://schemas.microsoft.com/office/drawing/2014/main" id="{00000000-0008-0000-1200-00001D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6572286</a:t>
              </a:r>
            </a:p>
          </xdr:txBody>
        </xdr:sp>
        <xdr:clientData fPrintsWithSheet="0"/>
      </xdr:twoCellAnchor>
    </mc:Choice>
    <mc:Fallback/>
  </mc:AlternateContent>
  <xdr:oneCellAnchor>
    <xdr:from>
      <xdr:col>174</xdr:col>
      <xdr:colOff>152400</xdr:colOff>
      <xdr:row>16</xdr:row>
      <xdr:rowOff>76200</xdr:rowOff>
    </xdr:from>
    <xdr:ext cx="3276190" cy="1180952"/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326825" y="2971800"/>
          <a:ext cx="3276190" cy="1180952"/>
        </a:xfrm>
        <a:prstGeom prst="rect">
          <a:avLst/>
        </a:prstGeom>
      </xdr:spPr>
    </xdr:pic>
    <xdr:clientData/>
  </xdr:oneCellAnchor>
  <xdr:oneCellAnchor>
    <xdr:from>
      <xdr:col>174</xdr:col>
      <xdr:colOff>152400</xdr:colOff>
      <xdr:row>13</xdr:row>
      <xdr:rowOff>57150</xdr:rowOff>
    </xdr:from>
    <xdr:ext cx="3409524" cy="619048"/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326825" y="2381250"/>
          <a:ext cx="3409524" cy="61904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184</xdr:col>
          <xdr:colOff>99060</xdr:colOff>
          <xdr:row>0</xdr:row>
          <xdr:rowOff>30480</xdr:rowOff>
        </xdr:from>
        <xdr:to>
          <xdr:col>185</xdr:col>
          <xdr:colOff>350520</xdr:colOff>
          <xdr:row>1</xdr:row>
          <xdr:rowOff>121920</xdr:rowOff>
        </xdr:to>
        <xdr:sp macro="" textlink="">
          <xdr:nvSpPr>
            <xdr:cNvPr id="67615" name="Button 31" hidden="1">
              <a:extLst>
                <a:ext uri="{63B3BB69-23CF-44E3-9099-C40C66FF867C}">
                  <a14:compatExt spid="_x0000_s67615"/>
                </a:ext>
                <a:ext uri="{FF2B5EF4-FFF2-40B4-BE49-F238E27FC236}">
                  <a16:creationId xmlns:a16="http://schemas.microsoft.com/office/drawing/2014/main" id="{00000000-0008-0000-1200-00001F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10</xdr:row>
          <xdr:rowOff>45720</xdr:rowOff>
        </xdr:from>
        <xdr:to>
          <xdr:col>6</xdr:col>
          <xdr:colOff>457200</xdr:colOff>
          <xdr:row>11</xdr:row>
          <xdr:rowOff>121920</xdr:rowOff>
        </xdr:to>
        <xdr:sp macro="" textlink="">
          <xdr:nvSpPr>
            <xdr:cNvPr id="67616" name="Button 32" hidden="1">
              <a:extLst>
                <a:ext uri="{63B3BB69-23CF-44E3-9099-C40C66FF867C}">
                  <a14:compatExt spid="_x0000_s67616"/>
                </a:ext>
                <a:ext uri="{FF2B5EF4-FFF2-40B4-BE49-F238E27FC236}">
                  <a16:creationId xmlns:a16="http://schemas.microsoft.com/office/drawing/2014/main" id="{00000000-0008-0000-1200-000020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1452971</a:t>
              </a:r>
            </a:p>
          </xdr:txBody>
        </xdr:sp>
        <xdr:clientData fPrintsWithSheet="0"/>
      </xdr:twoCellAnchor>
    </mc:Choice>
    <mc:Fallback/>
  </mc:AlternateContent>
  <xdr:oneCellAnchor>
    <xdr:from>
      <xdr:col>195</xdr:col>
      <xdr:colOff>133350</xdr:colOff>
      <xdr:row>17</xdr:row>
      <xdr:rowOff>95250</xdr:rowOff>
    </xdr:from>
    <xdr:ext cx="3276190" cy="1180952"/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49300" y="3257550"/>
          <a:ext cx="3276190" cy="1180952"/>
        </a:xfrm>
        <a:prstGeom prst="rect">
          <a:avLst/>
        </a:prstGeom>
      </xdr:spPr>
    </xdr:pic>
    <xdr:clientData/>
  </xdr:oneCellAnchor>
  <xdr:oneCellAnchor>
    <xdr:from>
      <xdr:col>195</xdr:col>
      <xdr:colOff>552450</xdr:colOff>
      <xdr:row>14</xdr:row>
      <xdr:rowOff>47625</xdr:rowOff>
    </xdr:from>
    <xdr:ext cx="3409524" cy="619048"/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68400" y="2638425"/>
          <a:ext cx="3409524" cy="61904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205</xdr:col>
          <xdr:colOff>99060</xdr:colOff>
          <xdr:row>0</xdr:row>
          <xdr:rowOff>30480</xdr:rowOff>
        </xdr:from>
        <xdr:to>
          <xdr:col>206</xdr:col>
          <xdr:colOff>350520</xdr:colOff>
          <xdr:row>1</xdr:row>
          <xdr:rowOff>121920</xdr:rowOff>
        </xdr:to>
        <xdr:sp macro="" textlink="">
          <xdr:nvSpPr>
            <xdr:cNvPr id="67617" name="Button 33" hidden="1">
              <a:extLst>
                <a:ext uri="{63B3BB69-23CF-44E3-9099-C40C66FF867C}">
                  <a14:compatExt spid="_x0000_s67617"/>
                </a:ext>
                <a:ext uri="{FF2B5EF4-FFF2-40B4-BE49-F238E27FC236}">
                  <a16:creationId xmlns:a16="http://schemas.microsoft.com/office/drawing/2014/main" id="{00000000-0008-0000-1200-00002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</xdr:colOff>
          <xdr:row>5</xdr:row>
          <xdr:rowOff>45720</xdr:rowOff>
        </xdr:from>
        <xdr:to>
          <xdr:col>12</xdr:col>
          <xdr:colOff>518160</xdr:colOff>
          <xdr:row>6</xdr:row>
          <xdr:rowOff>137160</xdr:rowOff>
        </xdr:to>
        <xdr:sp macro="" textlink="">
          <xdr:nvSpPr>
            <xdr:cNvPr id="67618" name="Button 34" hidden="1">
              <a:extLst>
                <a:ext uri="{63B3BB69-23CF-44E3-9099-C40C66FF867C}">
                  <a14:compatExt spid="_x0000_s67618"/>
                </a:ext>
                <a:ext uri="{FF2B5EF4-FFF2-40B4-BE49-F238E27FC236}">
                  <a16:creationId xmlns:a16="http://schemas.microsoft.com/office/drawing/2014/main" id="{00000000-0008-0000-1200-00002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13864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10</xdr:row>
          <xdr:rowOff>45720</xdr:rowOff>
        </xdr:from>
        <xdr:to>
          <xdr:col>12</xdr:col>
          <xdr:colOff>457200</xdr:colOff>
          <xdr:row>11</xdr:row>
          <xdr:rowOff>137160</xdr:rowOff>
        </xdr:to>
        <xdr:sp macro="" textlink="">
          <xdr:nvSpPr>
            <xdr:cNvPr id="67619" name="Button 35" hidden="1">
              <a:extLst>
                <a:ext uri="{63B3BB69-23CF-44E3-9099-C40C66FF867C}">
                  <a14:compatExt spid="_x0000_s67619"/>
                </a:ext>
                <a:ext uri="{FF2B5EF4-FFF2-40B4-BE49-F238E27FC236}">
                  <a16:creationId xmlns:a16="http://schemas.microsoft.com/office/drawing/2014/main" id="{00000000-0008-0000-1200-00002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1455401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266700</xdr:colOff>
      <xdr:row>2</xdr:row>
      <xdr:rowOff>0</xdr:rowOff>
    </xdr:from>
    <xdr:to>
      <xdr:col>7</xdr:col>
      <xdr:colOff>542925</xdr:colOff>
      <xdr:row>3</xdr:row>
      <xdr:rowOff>19050</xdr:rowOff>
    </xdr:to>
    <xdr:sp macro="" textlink="">
      <xdr:nvSpPr>
        <xdr:cNvPr id="10" name="Seta: para a Direita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3933825" y="409575"/>
          <a:ext cx="838200" cy="2286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7</xdr:row>
          <xdr:rowOff>45720</xdr:rowOff>
        </xdr:from>
        <xdr:to>
          <xdr:col>3</xdr:col>
          <xdr:colOff>525780</xdr:colOff>
          <xdr:row>8</xdr:row>
          <xdr:rowOff>144780</xdr:rowOff>
        </xdr:to>
        <xdr:sp macro="" textlink="">
          <xdr:nvSpPr>
            <xdr:cNvPr id="67620" name="Button 36" hidden="1">
              <a:extLst>
                <a:ext uri="{63B3BB69-23CF-44E3-9099-C40C66FF867C}">
                  <a14:compatExt spid="_x0000_s67620"/>
                </a:ext>
                <a:ext uri="{FF2B5EF4-FFF2-40B4-BE49-F238E27FC236}">
                  <a16:creationId xmlns:a16="http://schemas.microsoft.com/office/drawing/2014/main" id="{00000000-0008-0000-1200-00002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7636519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152400</xdr:colOff>
      <xdr:row>6</xdr:row>
      <xdr:rowOff>123824</xdr:rowOff>
    </xdr:from>
    <xdr:to>
      <xdr:col>2</xdr:col>
      <xdr:colOff>266699</xdr:colOff>
      <xdr:row>7</xdr:row>
      <xdr:rowOff>190499</xdr:rowOff>
    </xdr:to>
    <xdr:cxnSp macro="">
      <xdr:nvCxnSpPr>
        <xdr:cNvPr id="26" name="Conector: Angulado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CxnSpPr/>
      </xdr:nvCxnSpPr>
      <xdr:spPr>
        <a:xfrm rot="16200000" flipH="1">
          <a:off x="1300162" y="1262062"/>
          <a:ext cx="257175" cy="11429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12</xdr:row>
          <xdr:rowOff>45720</xdr:rowOff>
        </xdr:from>
        <xdr:to>
          <xdr:col>3</xdr:col>
          <xdr:colOff>518160</xdr:colOff>
          <xdr:row>13</xdr:row>
          <xdr:rowOff>137160</xdr:rowOff>
        </xdr:to>
        <xdr:sp macro="" textlink="">
          <xdr:nvSpPr>
            <xdr:cNvPr id="67621" name="Button 37" hidden="1">
              <a:extLst>
                <a:ext uri="{63B3BB69-23CF-44E3-9099-C40C66FF867C}">
                  <a14:compatExt spid="_x0000_s67621"/>
                </a:ext>
                <a:ext uri="{FF2B5EF4-FFF2-40B4-BE49-F238E27FC236}">
                  <a16:creationId xmlns:a16="http://schemas.microsoft.com/office/drawing/2014/main" id="{00000000-0008-0000-1200-00002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7636503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142875</xdr:colOff>
      <xdr:row>11</xdr:row>
      <xdr:rowOff>114299</xdr:rowOff>
    </xdr:from>
    <xdr:to>
      <xdr:col>2</xdr:col>
      <xdr:colOff>257174</xdr:colOff>
      <xdr:row>12</xdr:row>
      <xdr:rowOff>180974</xdr:rowOff>
    </xdr:to>
    <xdr:cxnSp macro="">
      <xdr:nvCxnSpPr>
        <xdr:cNvPr id="103" name="Conector: Angulado 102"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CxnSpPr/>
      </xdr:nvCxnSpPr>
      <xdr:spPr>
        <a:xfrm rot="16200000" flipH="1">
          <a:off x="1290637" y="2205037"/>
          <a:ext cx="257175" cy="11429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17</xdr:row>
          <xdr:rowOff>60960</xdr:rowOff>
        </xdr:from>
        <xdr:to>
          <xdr:col>3</xdr:col>
          <xdr:colOff>525780</xdr:colOff>
          <xdr:row>18</xdr:row>
          <xdr:rowOff>137160</xdr:rowOff>
        </xdr:to>
        <xdr:sp macro="" textlink="">
          <xdr:nvSpPr>
            <xdr:cNvPr id="67622" name="Button 38" hidden="1">
              <a:extLst>
                <a:ext uri="{63B3BB69-23CF-44E3-9099-C40C66FF867C}">
                  <a14:compatExt spid="_x0000_s67622"/>
                </a:ext>
                <a:ext uri="{FF2B5EF4-FFF2-40B4-BE49-F238E27FC236}">
                  <a16:creationId xmlns:a16="http://schemas.microsoft.com/office/drawing/2014/main" id="{00000000-0008-0000-1200-00002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1015710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161925</xdr:colOff>
      <xdr:row>16</xdr:row>
      <xdr:rowOff>133349</xdr:rowOff>
    </xdr:from>
    <xdr:to>
      <xdr:col>2</xdr:col>
      <xdr:colOff>276224</xdr:colOff>
      <xdr:row>18</xdr:row>
      <xdr:rowOff>9524</xdr:rowOff>
    </xdr:to>
    <xdr:cxnSp macro="">
      <xdr:nvCxnSpPr>
        <xdr:cNvPr id="105" name="Conector: Angulado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CxnSpPr/>
      </xdr:nvCxnSpPr>
      <xdr:spPr>
        <a:xfrm rot="16200000" flipH="1">
          <a:off x="1309687" y="3176587"/>
          <a:ext cx="257175" cy="11429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7</xdr:row>
          <xdr:rowOff>60960</xdr:rowOff>
        </xdr:from>
        <xdr:to>
          <xdr:col>6</xdr:col>
          <xdr:colOff>457200</xdr:colOff>
          <xdr:row>8</xdr:row>
          <xdr:rowOff>121920</xdr:rowOff>
        </xdr:to>
        <xdr:sp macro="" textlink="">
          <xdr:nvSpPr>
            <xdr:cNvPr id="67623" name="Button 39" hidden="1">
              <a:extLst>
                <a:ext uri="{63B3BB69-23CF-44E3-9099-C40C66FF867C}">
                  <a14:compatExt spid="_x0000_s67623"/>
                </a:ext>
                <a:ext uri="{FF2B5EF4-FFF2-40B4-BE49-F238E27FC236}">
                  <a16:creationId xmlns:a16="http://schemas.microsoft.com/office/drawing/2014/main" id="{00000000-0008-0000-1200-00002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7936525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123825</xdr:colOff>
      <xdr:row>6</xdr:row>
      <xdr:rowOff>133349</xdr:rowOff>
    </xdr:from>
    <xdr:to>
      <xdr:col>5</xdr:col>
      <xdr:colOff>238124</xdr:colOff>
      <xdr:row>8</xdr:row>
      <xdr:rowOff>9524</xdr:rowOff>
    </xdr:to>
    <xdr:cxnSp macro="">
      <xdr:nvCxnSpPr>
        <xdr:cNvPr id="107" name="Conector: Angulado 106">
          <a:extLst>
            <a:ext uri="{FF2B5EF4-FFF2-40B4-BE49-F238E27FC236}">
              <a16:creationId xmlns:a16="http://schemas.microsoft.com/office/drawing/2014/main" id="{00000000-0008-0000-1200-00006B000000}"/>
            </a:ext>
          </a:extLst>
        </xdr:cNvPr>
        <xdr:cNvCxnSpPr/>
      </xdr:nvCxnSpPr>
      <xdr:spPr>
        <a:xfrm rot="16200000" flipH="1">
          <a:off x="3100387" y="1271587"/>
          <a:ext cx="257175" cy="11429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12</xdr:row>
          <xdr:rowOff>60960</xdr:rowOff>
        </xdr:from>
        <xdr:to>
          <xdr:col>6</xdr:col>
          <xdr:colOff>449580</xdr:colOff>
          <xdr:row>13</xdr:row>
          <xdr:rowOff>106680</xdr:rowOff>
        </xdr:to>
        <xdr:sp macro="" textlink="">
          <xdr:nvSpPr>
            <xdr:cNvPr id="67625" name="Button 41" hidden="1">
              <a:extLst>
                <a:ext uri="{63B3BB69-23CF-44E3-9099-C40C66FF867C}">
                  <a14:compatExt spid="_x0000_s67625"/>
                </a:ext>
                <a:ext uri="{FF2B5EF4-FFF2-40B4-BE49-F238E27FC236}">
                  <a16:creationId xmlns:a16="http://schemas.microsoft.com/office/drawing/2014/main" id="{00000000-0008-0000-1200-00002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2078450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171450</xdr:colOff>
      <xdr:row>11</xdr:row>
      <xdr:rowOff>123824</xdr:rowOff>
    </xdr:from>
    <xdr:to>
      <xdr:col>5</xdr:col>
      <xdr:colOff>285749</xdr:colOff>
      <xdr:row>12</xdr:row>
      <xdr:rowOff>190499</xdr:rowOff>
    </xdr:to>
    <xdr:cxnSp macro="">
      <xdr:nvCxnSpPr>
        <xdr:cNvPr id="110" name="Conector: Angulado 109">
          <a:extLst>
            <a:ext uri="{FF2B5EF4-FFF2-40B4-BE49-F238E27FC236}">
              <a16:creationId xmlns:a16="http://schemas.microsoft.com/office/drawing/2014/main" id="{00000000-0008-0000-1200-00006E000000}"/>
            </a:ext>
          </a:extLst>
        </xdr:cNvPr>
        <xdr:cNvCxnSpPr/>
      </xdr:nvCxnSpPr>
      <xdr:spPr>
        <a:xfrm rot="16200000" flipH="1">
          <a:off x="3148012" y="2214562"/>
          <a:ext cx="257175" cy="11429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350520</xdr:colOff>
          <xdr:row>17</xdr:row>
          <xdr:rowOff>68580</xdr:rowOff>
        </xdr:from>
        <xdr:to>
          <xdr:col>6</xdr:col>
          <xdr:colOff>487680</xdr:colOff>
          <xdr:row>18</xdr:row>
          <xdr:rowOff>106680</xdr:rowOff>
        </xdr:to>
        <xdr:sp macro="" textlink="">
          <xdr:nvSpPr>
            <xdr:cNvPr id="67626" name="Button 42" hidden="1">
              <a:extLst>
                <a:ext uri="{63B3BB69-23CF-44E3-9099-C40C66FF867C}">
                  <a14:compatExt spid="_x0000_s67626"/>
                </a:ext>
                <a:ext uri="{FF2B5EF4-FFF2-40B4-BE49-F238E27FC236}">
                  <a16:creationId xmlns:a16="http://schemas.microsoft.com/office/drawing/2014/main" id="{00000000-0008-0000-1200-00002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1454330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16</xdr:row>
      <xdr:rowOff>123824</xdr:rowOff>
    </xdr:from>
    <xdr:to>
      <xdr:col>5</xdr:col>
      <xdr:colOff>333374</xdr:colOff>
      <xdr:row>17</xdr:row>
      <xdr:rowOff>190499</xdr:rowOff>
    </xdr:to>
    <xdr:cxnSp macro="">
      <xdr:nvCxnSpPr>
        <xdr:cNvPr id="112" name="Conector: Angulado 111">
          <a:extLst>
            <a:ext uri="{FF2B5EF4-FFF2-40B4-BE49-F238E27FC236}">
              <a16:creationId xmlns:a16="http://schemas.microsoft.com/office/drawing/2014/main" id="{00000000-0008-0000-1200-000070000000}"/>
            </a:ext>
          </a:extLst>
        </xdr:cNvPr>
        <xdr:cNvCxnSpPr/>
      </xdr:nvCxnSpPr>
      <xdr:spPr>
        <a:xfrm rot="16200000" flipH="1">
          <a:off x="3195637" y="3167062"/>
          <a:ext cx="257175" cy="11429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7</xdr:row>
          <xdr:rowOff>76200</xdr:rowOff>
        </xdr:from>
        <xdr:to>
          <xdr:col>9</xdr:col>
          <xdr:colOff>426720</xdr:colOff>
          <xdr:row>8</xdr:row>
          <xdr:rowOff>114300</xdr:rowOff>
        </xdr:to>
        <xdr:sp macro="" textlink="">
          <xdr:nvSpPr>
            <xdr:cNvPr id="67627" name="Button 43" hidden="1">
              <a:extLst>
                <a:ext uri="{63B3BB69-23CF-44E3-9099-C40C66FF867C}">
                  <a14:compatExt spid="_x0000_s67627"/>
                </a:ext>
                <a:ext uri="{FF2B5EF4-FFF2-40B4-BE49-F238E27FC236}">
                  <a16:creationId xmlns:a16="http://schemas.microsoft.com/office/drawing/2014/main" id="{00000000-0008-0000-1200-00002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1655881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219075</xdr:colOff>
      <xdr:row>6</xdr:row>
      <xdr:rowOff>114299</xdr:rowOff>
    </xdr:from>
    <xdr:to>
      <xdr:col>8</xdr:col>
      <xdr:colOff>333374</xdr:colOff>
      <xdr:row>7</xdr:row>
      <xdr:rowOff>180974</xdr:rowOff>
    </xdr:to>
    <xdr:cxnSp macro="">
      <xdr:nvCxnSpPr>
        <xdr:cNvPr id="114" name="Conector: Angulado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CxnSpPr/>
      </xdr:nvCxnSpPr>
      <xdr:spPr>
        <a:xfrm rot="16200000" flipH="1">
          <a:off x="4986337" y="1252537"/>
          <a:ext cx="257175" cy="11429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12</xdr:row>
          <xdr:rowOff>60960</xdr:rowOff>
        </xdr:from>
        <xdr:to>
          <xdr:col>12</xdr:col>
          <xdr:colOff>464820</xdr:colOff>
          <xdr:row>13</xdr:row>
          <xdr:rowOff>114300</xdr:rowOff>
        </xdr:to>
        <xdr:sp macro="" textlink="">
          <xdr:nvSpPr>
            <xdr:cNvPr id="67628" name="Button 44" hidden="1">
              <a:extLst>
                <a:ext uri="{63B3BB69-23CF-44E3-9099-C40C66FF867C}">
                  <a14:compatExt spid="_x0000_s67628"/>
                </a:ext>
                <a:ext uri="{FF2B5EF4-FFF2-40B4-BE49-F238E27FC236}">
                  <a16:creationId xmlns:a16="http://schemas.microsoft.com/office/drawing/2014/main" id="{00000000-0008-0000-1200-00002C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9521032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11</xdr:row>
      <xdr:rowOff>133349</xdr:rowOff>
    </xdr:from>
    <xdr:to>
      <xdr:col>11</xdr:col>
      <xdr:colOff>352424</xdr:colOff>
      <xdr:row>13</xdr:row>
      <xdr:rowOff>9524</xdr:rowOff>
    </xdr:to>
    <xdr:cxnSp macro="">
      <xdr:nvCxnSpPr>
        <xdr:cNvPr id="116" name="Conector: Angulado 115">
          <a:extLst>
            <a:ext uri="{FF2B5EF4-FFF2-40B4-BE49-F238E27FC236}">
              <a16:creationId xmlns:a16="http://schemas.microsoft.com/office/drawing/2014/main" id="{00000000-0008-0000-1200-000074000000}"/>
            </a:ext>
          </a:extLst>
        </xdr:cNvPr>
        <xdr:cNvCxnSpPr/>
      </xdr:nvCxnSpPr>
      <xdr:spPr>
        <a:xfrm rot="16200000" flipH="1">
          <a:off x="6748462" y="2224087"/>
          <a:ext cx="257175" cy="11429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15</xdr:row>
          <xdr:rowOff>45720</xdr:rowOff>
        </xdr:from>
        <xdr:to>
          <xdr:col>12</xdr:col>
          <xdr:colOff>525780</xdr:colOff>
          <xdr:row>16</xdr:row>
          <xdr:rowOff>137160</xdr:rowOff>
        </xdr:to>
        <xdr:sp macro="" textlink="">
          <xdr:nvSpPr>
            <xdr:cNvPr id="67629" name="Button 45" hidden="1">
              <a:extLst>
                <a:ext uri="{63B3BB69-23CF-44E3-9099-C40C66FF867C}">
                  <a14:compatExt spid="_x0000_s67629"/>
                </a:ext>
                <a:ext uri="{FF2B5EF4-FFF2-40B4-BE49-F238E27FC236}">
                  <a16:creationId xmlns:a16="http://schemas.microsoft.com/office/drawing/2014/main" id="{00000000-0008-0000-1200-00002D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1727779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144780</xdr:colOff>
          <xdr:row>17</xdr:row>
          <xdr:rowOff>60960</xdr:rowOff>
        </xdr:from>
        <xdr:to>
          <xdr:col>12</xdr:col>
          <xdr:colOff>518160</xdr:colOff>
          <xdr:row>18</xdr:row>
          <xdr:rowOff>137160</xdr:rowOff>
        </xdr:to>
        <xdr:sp macro="" textlink="">
          <xdr:nvSpPr>
            <xdr:cNvPr id="67630" name="Button 46" hidden="1">
              <a:extLst>
                <a:ext uri="{63B3BB69-23CF-44E3-9099-C40C66FF867C}">
                  <a14:compatExt spid="_x0000_s67630"/>
                </a:ext>
                <a:ext uri="{FF2B5EF4-FFF2-40B4-BE49-F238E27FC236}">
                  <a16:creationId xmlns:a16="http://schemas.microsoft.com/office/drawing/2014/main" id="{00000000-0008-0000-1200-00002E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3840515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0</xdr:row>
          <xdr:rowOff>137160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67631" name="Button 47" hidden="1">
              <a:extLst>
                <a:ext uri="{63B3BB69-23CF-44E3-9099-C40C66FF867C}">
                  <a14:compatExt spid="_x0000_s67631"/>
                </a:ext>
                <a:ext uri="{FF2B5EF4-FFF2-40B4-BE49-F238E27FC236}">
                  <a16:creationId xmlns:a16="http://schemas.microsoft.com/office/drawing/2014/main" id="{00000000-0008-0000-1200-00002F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 </a:t>
              </a:r>
            </a:p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PRINCIPAL</a:t>
              </a:r>
            </a:p>
          </xdr:txBody>
        </xdr:sp>
        <xdr:clientData fPrintsWithSheet="0"/>
      </xdr:twoCellAnchor>
    </mc:Choice>
    <mc:Fallback/>
  </mc:AlternateContent>
  <xdr:oneCellAnchor>
    <xdr:from>
      <xdr:col>47</xdr:col>
      <xdr:colOff>161921</xdr:colOff>
      <xdr:row>19</xdr:row>
      <xdr:rowOff>19050</xdr:rowOff>
    </xdr:from>
    <xdr:ext cx="3552829" cy="409575"/>
    <xdr:sp macro="" textlink="">
      <xdr:nvSpPr>
        <xdr:cNvPr id="78" name="CaixaDeTexto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SpPr txBox="1"/>
      </xdr:nvSpPr>
      <xdr:spPr>
        <a:xfrm>
          <a:off x="30051371" y="3562350"/>
          <a:ext cx="355282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800"/>
            <a:t>Nota: A pressão de trabalho a ser utilizado para o Mix, deve ser entre 10 a 60psi</a:t>
          </a:r>
        </a:p>
        <a:p>
          <a:r>
            <a:rPr lang="pt-BR" sz="800" baseline="0"/>
            <a:t> (referência) de acordo com avaliação da necessidade pelo responsável </a:t>
          </a:r>
          <a:endParaRPr lang="pt-BR" sz="800"/>
        </a:p>
      </xdr:txBody>
    </xdr:sp>
    <xdr:clientData/>
  </xdr:oneCellAnchor>
  <xdr:oneCellAnchor>
    <xdr:from>
      <xdr:col>66</xdr:col>
      <xdr:colOff>171450</xdr:colOff>
      <xdr:row>18</xdr:row>
      <xdr:rowOff>123825</xdr:rowOff>
    </xdr:from>
    <xdr:ext cx="3552829" cy="409575"/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SpPr txBox="1"/>
      </xdr:nvSpPr>
      <xdr:spPr>
        <a:xfrm>
          <a:off x="42491025" y="3476625"/>
          <a:ext cx="355282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800"/>
            <a:t>Nota: A pressão de trabalho a ser utilizado para o Mix, deve ser entre 10 a 60psi</a:t>
          </a:r>
        </a:p>
        <a:p>
          <a:r>
            <a:rPr lang="pt-BR" sz="800" baseline="0"/>
            <a:t> (referência) de acordo com avaliação da necessidade pelo responsável </a:t>
          </a:r>
          <a:endParaRPr lang="pt-BR" sz="800"/>
        </a:p>
      </xdr:txBody>
    </xdr:sp>
    <xdr:clientData/>
  </xdr:oneCellAnchor>
  <xdr:oneCellAnchor>
    <xdr:from>
      <xdr:col>84</xdr:col>
      <xdr:colOff>180975</xdr:colOff>
      <xdr:row>18</xdr:row>
      <xdr:rowOff>171450</xdr:rowOff>
    </xdr:from>
    <xdr:ext cx="3552829" cy="409575"/>
    <xdr:sp macro="" textlink="">
      <xdr:nvSpPr>
        <xdr:cNvPr id="84" name="CaixaDeTexto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SpPr txBox="1"/>
      </xdr:nvSpPr>
      <xdr:spPr>
        <a:xfrm>
          <a:off x="54444900" y="3524250"/>
          <a:ext cx="355282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800"/>
            <a:t>Nota: A pressão de trabalho a ser utilizado para o Mix, deve ser entre 10 a 60psi</a:t>
          </a:r>
        </a:p>
        <a:p>
          <a:r>
            <a:rPr lang="pt-BR" sz="800" baseline="0"/>
            <a:t> (referência) de acordo com avaliação da necessidade pelo responsável </a:t>
          </a:r>
          <a:endParaRPr lang="pt-BR" sz="800"/>
        </a:p>
      </xdr:txBody>
    </xdr:sp>
    <xdr:clientData/>
  </xdr:oneCellAnchor>
  <xdr:oneCellAnchor>
    <xdr:from>
      <xdr:col>104</xdr:col>
      <xdr:colOff>152400</xdr:colOff>
      <xdr:row>19</xdr:row>
      <xdr:rowOff>28575</xdr:rowOff>
    </xdr:from>
    <xdr:ext cx="3552829" cy="409575"/>
    <xdr:sp macro="" textlink="">
      <xdr:nvSpPr>
        <xdr:cNvPr id="88" name="CaixaDeTexto 87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SpPr txBox="1"/>
      </xdr:nvSpPr>
      <xdr:spPr>
        <a:xfrm>
          <a:off x="67579875" y="3571875"/>
          <a:ext cx="355282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800"/>
            <a:t>Nota: A pressão de trabalho a ser utilizado para o Mix, deve ser entre 10 a 60psi</a:t>
          </a:r>
        </a:p>
        <a:p>
          <a:r>
            <a:rPr lang="pt-BR" sz="800" baseline="0"/>
            <a:t> (referência) de acordo com avaliação da necessidade pelo responsável </a:t>
          </a:r>
          <a:endParaRPr lang="pt-BR" sz="800"/>
        </a:p>
      </xdr:txBody>
    </xdr:sp>
    <xdr:clientData/>
  </xdr:oneCellAnchor>
  <xdr:oneCellAnchor>
    <xdr:from>
      <xdr:col>182</xdr:col>
      <xdr:colOff>142875</xdr:colOff>
      <xdr:row>18</xdr:row>
      <xdr:rowOff>171450</xdr:rowOff>
    </xdr:from>
    <xdr:ext cx="3552829" cy="409575"/>
    <xdr:sp macro="" textlink="">
      <xdr:nvSpPr>
        <xdr:cNvPr id="89" name="CaixaDeTexto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SpPr txBox="1"/>
      </xdr:nvSpPr>
      <xdr:spPr>
        <a:xfrm>
          <a:off x="119005350" y="3524250"/>
          <a:ext cx="355282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800"/>
            <a:t>Nota: A pressão de trabalho a ser utilizado para o Mix, deve ser entre 10 a 60psi</a:t>
          </a:r>
        </a:p>
        <a:p>
          <a:r>
            <a:rPr lang="pt-BR" sz="800" baseline="0"/>
            <a:t> (referência) de acordo com avaliação da necessidade pelo responsável </a:t>
          </a:r>
          <a:endParaRPr lang="pt-BR" sz="800"/>
        </a:p>
      </xdr:txBody>
    </xdr:sp>
    <xdr:clientData/>
  </xdr:oneCellAnchor>
  <xdr:oneCellAnchor>
    <xdr:from>
      <xdr:col>124</xdr:col>
      <xdr:colOff>161925</xdr:colOff>
      <xdr:row>18</xdr:row>
      <xdr:rowOff>142875</xdr:rowOff>
    </xdr:from>
    <xdr:ext cx="3552829" cy="409575"/>
    <xdr:sp macro="" textlink="">
      <xdr:nvSpPr>
        <xdr:cNvPr id="93" name="CaixaDeTexto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SpPr txBox="1"/>
      </xdr:nvSpPr>
      <xdr:spPr>
        <a:xfrm>
          <a:off x="80752950" y="3495675"/>
          <a:ext cx="355282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800"/>
            <a:t>Nota: A pressão de trabalho a ser utilizado para o Mix, deve ser entre 10 a 60psi</a:t>
          </a:r>
        </a:p>
        <a:p>
          <a:r>
            <a:rPr lang="pt-BR" sz="800" baseline="0"/>
            <a:t> (referência) de acordo com avaliação da necessidade pelo responsável </a:t>
          </a:r>
          <a:endParaRPr lang="pt-BR" sz="800"/>
        </a:p>
      </xdr:txBody>
    </xdr:sp>
    <xdr:clientData/>
  </xdr:oneCellAnchor>
  <xdr:oneCellAnchor>
    <xdr:from>
      <xdr:col>142</xdr:col>
      <xdr:colOff>200025</xdr:colOff>
      <xdr:row>19</xdr:row>
      <xdr:rowOff>19050</xdr:rowOff>
    </xdr:from>
    <xdr:ext cx="3552829" cy="409575"/>
    <xdr:sp macro="" textlink="">
      <xdr:nvSpPr>
        <xdr:cNvPr id="94" name="CaixaDeTexto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SpPr txBox="1"/>
      </xdr:nvSpPr>
      <xdr:spPr>
        <a:xfrm>
          <a:off x="92735400" y="3562350"/>
          <a:ext cx="355282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800"/>
            <a:t>Nota: A pressão de trabalho a ser utilizado para o Mix, deve ser entre 10 a 60psi</a:t>
          </a:r>
        </a:p>
        <a:p>
          <a:r>
            <a:rPr lang="pt-BR" sz="800" baseline="0"/>
            <a:t> (referência) de acordo com avaliação da necessidade pelo responsável </a:t>
          </a:r>
          <a:endParaRPr lang="pt-BR" sz="800"/>
        </a:p>
      </xdr:txBody>
    </xdr:sp>
    <xdr:clientData/>
  </xdr:oneCellAnchor>
  <xdr:oneCellAnchor>
    <xdr:from>
      <xdr:col>31</xdr:col>
      <xdr:colOff>504825</xdr:colOff>
      <xdr:row>18</xdr:row>
      <xdr:rowOff>95250</xdr:rowOff>
    </xdr:from>
    <xdr:ext cx="3552829" cy="409575"/>
    <xdr:sp macro="" textlink="">
      <xdr:nvSpPr>
        <xdr:cNvPr id="95" name="CaixaDeTexto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SpPr txBox="1"/>
      </xdr:nvSpPr>
      <xdr:spPr>
        <a:xfrm>
          <a:off x="19440525" y="3448050"/>
          <a:ext cx="355282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800"/>
            <a:t>Nota: A pressão de trabalho a ser utilizado para o Mix, deve ser entre 10 a 60psi</a:t>
          </a:r>
        </a:p>
        <a:p>
          <a:r>
            <a:rPr lang="pt-BR" sz="800" baseline="0"/>
            <a:t> (referência) de acordo com avaliação da necessidade pelo responsável </a:t>
          </a:r>
          <a:endParaRPr lang="pt-BR" sz="800"/>
        </a:p>
      </xdr:txBody>
    </xdr:sp>
    <xdr:clientData/>
  </xdr:oneCellAnchor>
  <xdr:oneCellAnchor>
    <xdr:from>
      <xdr:col>162</xdr:col>
      <xdr:colOff>180975</xdr:colOff>
      <xdr:row>18</xdr:row>
      <xdr:rowOff>180975</xdr:rowOff>
    </xdr:from>
    <xdr:ext cx="3552829" cy="409575"/>
    <xdr:sp macro="" textlink="">
      <xdr:nvSpPr>
        <xdr:cNvPr id="96" name="CaixaDeTexto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SpPr txBox="1"/>
      </xdr:nvSpPr>
      <xdr:spPr>
        <a:xfrm>
          <a:off x="105879900" y="3533775"/>
          <a:ext cx="355282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800"/>
            <a:t>Nota: A pressão de trabalho a ser utilizado para o Mix, deve ser entre 10 a 60psi</a:t>
          </a:r>
        </a:p>
        <a:p>
          <a:r>
            <a:rPr lang="pt-BR" sz="800" baseline="0"/>
            <a:t> (referência) de acordo com avaliação da necessidade pelo responsável </a:t>
          </a:r>
          <a:endParaRPr lang="pt-BR" sz="800"/>
        </a:p>
      </xdr:txBody>
    </xdr:sp>
    <xdr:clientData/>
  </xdr:oneCellAnchor>
  <xdr:oneCellAnchor>
    <xdr:from>
      <xdr:col>203</xdr:col>
      <xdr:colOff>200025</xdr:colOff>
      <xdr:row>18</xdr:row>
      <xdr:rowOff>180975</xdr:rowOff>
    </xdr:from>
    <xdr:ext cx="3552829" cy="409575"/>
    <xdr:sp macro="" textlink="">
      <xdr:nvSpPr>
        <xdr:cNvPr id="97" name="CaixaDeTexto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SpPr txBox="1"/>
      </xdr:nvSpPr>
      <xdr:spPr>
        <a:xfrm>
          <a:off x="132835650" y="3533775"/>
          <a:ext cx="3552829" cy="409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800"/>
            <a:t>Nota: A pressão de trabalho a ser utilizado para o Mix, deve ser entre 10 a 60psi</a:t>
          </a:r>
        </a:p>
        <a:p>
          <a:r>
            <a:rPr lang="pt-BR" sz="800" baseline="0"/>
            <a:t> (referência) de acordo com avaliação da necessidade pelo responsável </a:t>
          </a:r>
          <a:endParaRPr lang="pt-BR" sz="8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19</xdr:row>
          <xdr:rowOff>83820</xdr:rowOff>
        </xdr:from>
        <xdr:to>
          <xdr:col>6</xdr:col>
          <xdr:colOff>495300</xdr:colOff>
          <xdr:row>20</xdr:row>
          <xdr:rowOff>121920</xdr:rowOff>
        </xdr:to>
        <xdr:sp macro="" textlink="">
          <xdr:nvSpPr>
            <xdr:cNvPr id="67632" name="Button 48" hidden="1">
              <a:extLst>
                <a:ext uri="{63B3BB69-23CF-44E3-9099-C40C66FF867C}">
                  <a14:compatExt spid="_x0000_s67632"/>
                </a:ext>
                <a:ext uri="{FF2B5EF4-FFF2-40B4-BE49-F238E27FC236}">
                  <a16:creationId xmlns:a16="http://schemas.microsoft.com/office/drawing/2014/main" id="{00000000-0008-0000-1200-000030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1453033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0</xdr:row>
          <xdr:rowOff>83820</xdr:rowOff>
        </xdr:from>
        <xdr:to>
          <xdr:col>14</xdr:col>
          <xdr:colOff>106680</xdr:colOff>
          <xdr:row>1</xdr:row>
          <xdr:rowOff>152400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3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28625" y="309562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0</xdr:row>
          <xdr:rowOff>60960</xdr:rowOff>
        </xdr:from>
        <xdr:to>
          <xdr:col>14</xdr:col>
          <xdr:colOff>487680</xdr:colOff>
          <xdr:row>1</xdr:row>
          <xdr:rowOff>121920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4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16</xdr:row>
      <xdr:rowOff>0</xdr:rowOff>
    </xdr:from>
    <xdr:to>
      <xdr:col>1</xdr:col>
      <xdr:colOff>533400</xdr:colOff>
      <xdr:row>17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28625" y="309562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13</xdr:col>
      <xdr:colOff>361950</xdr:colOff>
      <xdr:row>22</xdr:row>
      <xdr:rowOff>0</xdr:rowOff>
    </xdr:from>
    <xdr:to>
      <xdr:col>15</xdr:col>
      <xdr:colOff>228412</xdr:colOff>
      <xdr:row>28</xdr:row>
      <xdr:rowOff>47458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48475" y="4210050"/>
          <a:ext cx="1504762" cy="1333333"/>
        </a:xfrm>
        <a:prstGeom prst="rect">
          <a:avLst/>
        </a:prstGeom>
      </xdr:spPr>
    </xdr:pic>
    <xdr:clientData/>
  </xdr:twoCellAnchor>
  <xdr:twoCellAnchor>
    <xdr:from>
      <xdr:col>0</xdr:col>
      <xdr:colOff>85725</xdr:colOff>
      <xdr:row>3</xdr:row>
      <xdr:rowOff>133350</xdr:rowOff>
    </xdr:from>
    <xdr:to>
      <xdr:col>12</xdr:col>
      <xdr:colOff>209550</xdr:colOff>
      <xdr:row>16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85725" y="771525"/>
          <a:ext cx="6267450" cy="2324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4000">
              <a:solidFill>
                <a:srgbClr val="FF0000"/>
              </a:solidFill>
            </a:rPr>
            <a:t>ACIONAR PROCESSO CASO SEJA NECESSÁRIO USO DESTA MEP.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213360</xdr:colOff>
          <xdr:row>0</xdr:row>
          <xdr:rowOff>68580</xdr:rowOff>
        </xdr:from>
        <xdr:to>
          <xdr:col>13</xdr:col>
          <xdr:colOff>274320</xdr:colOff>
          <xdr:row>1</xdr:row>
          <xdr:rowOff>137160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15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28625" y="212407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66674</xdr:colOff>
      <xdr:row>2</xdr:row>
      <xdr:rowOff>57150</xdr:rowOff>
    </xdr:from>
    <xdr:to>
      <xdr:col>15</xdr:col>
      <xdr:colOff>113886</xdr:colOff>
      <xdr:row>23</xdr:row>
      <xdr:rowOff>37599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pSpPr/>
      </xdr:nvGrpSpPr>
      <xdr:grpSpPr>
        <a:xfrm>
          <a:off x="6846569" y="472440"/>
          <a:ext cx="3325717" cy="3975234"/>
          <a:chOff x="6161694" y="467080"/>
          <a:chExt cx="3304762" cy="4009524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161694" y="467080"/>
            <a:ext cx="3304762" cy="4009524"/>
          </a:xfrm>
          <a:prstGeom prst="rect">
            <a:avLst/>
          </a:prstGeom>
        </xdr:spPr>
      </xdr:pic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1500-000002000000}"/>
              </a:ext>
            </a:extLst>
          </xdr:cNvPr>
          <xdr:cNvSpPr/>
        </xdr:nvSpPr>
        <xdr:spPr>
          <a:xfrm>
            <a:off x="8191500" y="4076700"/>
            <a:ext cx="1047750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5</xdr:col>
      <xdr:colOff>190500</xdr:colOff>
      <xdr:row>17</xdr:row>
      <xdr:rowOff>85725</xdr:rowOff>
    </xdr:from>
    <xdr:to>
      <xdr:col>8</xdr:col>
      <xdr:colOff>327317</xdr:colOff>
      <xdr:row>23</xdr:row>
      <xdr:rowOff>37952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7100" y="3390900"/>
          <a:ext cx="2742857" cy="1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29</xdr:row>
      <xdr:rowOff>123825</xdr:rowOff>
    </xdr:from>
    <xdr:to>
      <xdr:col>5</xdr:col>
      <xdr:colOff>685318</xdr:colOff>
      <xdr:row>31</xdr:row>
      <xdr:rowOff>3761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775" y="5857875"/>
          <a:ext cx="3857143" cy="390476"/>
        </a:xfrm>
        <a:prstGeom prst="rect">
          <a:avLst/>
        </a:prstGeom>
      </xdr:spPr>
    </xdr:pic>
    <xdr:clientData/>
  </xdr:twoCellAnchor>
  <xdr:oneCellAnchor>
    <xdr:from>
      <xdr:col>5</xdr:col>
      <xdr:colOff>390521</xdr:colOff>
      <xdr:row>24</xdr:row>
      <xdr:rowOff>28575</xdr:rowOff>
    </xdr:from>
    <xdr:ext cx="4155497" cy="342786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 txBox="1"/>
      </xdr:nvSpPr>
      <xdr:spPr>
        <a:xfrm>
          <a:off x="3667121" y="4810125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5</xdr:col>
      <xdr:colOff>247650</xdr:colOff>
      <xdr:row>21</xdr:row>
      <xdr:rowOff>152400</xdr:rowOff>
    </xdr:from>
    <xdr:to>
      <xdr:col>5</xdr:col>
      <xdr:colOff>390521</xdr:colOff>
      <xdr:row>25</xdr:row>
      <xdr:rowOff>9467</xdr:rowOff>
    </xdr:to>
    <xdr:cxnSp macro="">
      <xdr:nvCxnSpPr>
        <xdr:cNvPr id="11" name="Conector: Angulado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CxnSpPr>
          <a:endCxn id="10" idx="1"/>
        </xdr:cNvCxnSpPr>
      </xdr:nvCxnSpPr>
      <xdr:spPr>
        <a:xfrm rot="16200000" flipH="1">
          <a:off x="3219477" y="4533873"/>
          <a:ext cx="752417" cy="142871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0</xdr:row>
          <xdr:rowOff>68580</xdr:rowOff>
        </xdr:from>
        <xdr:to>
          <xdr:col>15</xdr:col>
          <xdr:colOff>579120</xdr:colOff>
          <xdr:row>1</xdr:row>
          <xdr:rowOff>137160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6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428625" y="212407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161925</xdr:colOff>
      <xdr:row>17</xdr:row>
      <xdr:rowOff>47625</xdr:rowOff>
    </xdr:from>
    <xdr:to>
      <xdr:col>9</xdr:col>
      <xdr:colOff>85383</xdr:colOff>
      <xdr:row>23</xdr:row>
      <xdr:rowOff>37952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6125" y="3238500"/>
          <a:ext cx="2733333" cy="1180952"/>
        </a:xfrm>
        <a:prstGeom prst="rect">
          <a:avLst/>
        </a:prstGeom>
      </xdr:spPr>
    </xdr:pic>
    <xdr:clientData/>
  </xdr:twoCellAnchor>
  <xdr:oneCellAnchor>
    <xdr:from>
      <xdr:col>5</xdr:col>
      <xdr:colOff>352421</xdr:colOff>
      <xdr:row>23</xdr:row>
      <xdr:rowOff>190500</xdr:rowOff>
    </xdr:from>
    <xdr:ext cx="4076704" cy="624786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 txBox="1"/>
      </xdr:nvSpPr>
      <xdr:spPr>
        <a:xfrm>
          <a:off x="3476621" y="4705350"/>
          <a:ext cx="4076704" cy="624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850"/>
            <a:t>Nota: A pressão de trabalho a ser utilizado para o Mix, deve ser </a:t>
          </a:r>
          <a:r>
            <a:rPr lang="pt-BR" sz="850">
              <a:latin typeface="Calibri (Corpo)"/>
            </a:rPr>
            <a:t>entre</a:t>
          </a:r>
          <a:r>
            <a:rPr lang="pt-BR" sz="850"/>
            <a:t> 10 a 60psi</a:t>
          </a:r>
          <a:r>
            <a:rPr lang="pt-BR" sz="850" baseline="0"/>
            <a:t> (referência) de acordo com avaliação da necessidade pelo responsável </a:t>
          </a:r>
          <a:r>
            <a:rPr lang="pt-BR" sz="85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ou se caso for necessário pode realizar a mistura dos componentes manualmente respeitando o tempo acima, e realizando uma mistura uniforme durante todo tempo especificado acima. </a:t>
          </a:r>
          <a:endParaRPr lang="pt-BR" sz="850"/>
        </a:p>
      </xdr:txBody>
    </xdr:sp>
    <xdr:clientData/>
  </xdr:oneCellAnchor>
  <xdr:twoCellAnchor>
    <xdr:from>
      <xdr:col>5</xdr:col>
      <xdr:colOff>209549</xdr:colOff>
      <xdr:row>21</xdr:row>
      <xdr:rowOff>66671</xdr:rowOff>
    </xdr:from>
    <xdr:to>
      <xdr:col>5</xdr:col>
      <xdr:colOff>352421</xdr:colOff>
      <xdr:row>24</xdr:row>
      <xdr:rowOff>255243</xdr:rowOff>
    </xdr:to>
    <xdr:cxnSp macro="">
      <xdr:nvCxnSpPr>
        <xdr:cNvPr id="10" name="Conector: Angulado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CxnSpPr>
          <a:endCxn id="9" idx="1"/>
        </xdr:cNvCxnSpPr>
      </xdr:nvCxnSpPr>
      <xdr:spPr>
        <a:xfrm rot="16200000" flipH="1">
          <a:off x="2958474" y="4499596"/>
          <a:ext cx="893422" cy="142872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38100</xdr:colOff>
      <xdr:row>2</xdr:row>
      <xdr:rowOff>155840</xdr:rowOff>
    </xdr:from>
    <xdr:to>
      <xdr:col>17</xdr:col>
      <xdr:colOff>552450</xdr:colOff>
      <xdr:row>19</xdr:row>
      <xdr:rowOff>130483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297" t="33988" r="71812" b="13271"/>
        <a:stretch/>
      </xdr:blipFill>
      <xdr:spPr>
        <a:xfrm>
          <a:off x="9353550" y="584465"/>
          <a:ext cx="2400300" cy="3251243"/>
        </a:xfrm>
        <a:prstGeom prst="rect">
          <a:avLst/>
        </a:prstGeom>
      </xdr:spPr>
    </xdr:pic>
    <xdr:clientData/>
  </xdr:twoCellAnchor>
  <xdr:twoCellAnchor>
    <xdr:from>
      <xdr:col>13</xdr:col>
      <xdr:colOff>190500</xdr:colOff>
      <xdr:row>19</xdr:row>
      <xdr:rowOff>133350</xdr:rowOff>
    </xdr:from>
    <xdr:to>
      <xdr:col>14</xdr:col>
      <xdr:colOff>523875</xdr:colOff>
      <xdr:row>20</xdr:row>
      <xdr:rowOff>190500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8896350" y="3838575"/>
          <a:ext cx="942975" cy="209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800"/>
            <a:t>Qtd mistura ML</a:t>
          </a:r>
        </a:p>
      </xdr:txBody>
    </xdr:sp>
    <xdr:clientData/>
  </xdr:twoCellAnchor>
  <xdr:twoCellAnchor>
    <xdr:from>
      <xdr:col>14</xdr:col>
      <xdr:colOff>352425</xdr:colOff>
      <xdr:row>19</xdr:row>
      <xdr:rowOff>133350</xdr:rowOff>
    </xdr:from>
    <xdr:to>
      <xdr:col>15</xdr:col>
      <xdr:colOff>190500</xdr:colOff>
      <xdr:row>20</xdr:row>
      <xdr:rowOff>190500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 txBox="1"/>
      </xdr:nvSpPr>
      <xdr:spPr>
        <a:xfrm>
          <a:off x="9667875" y="3838575"/>
          <a:ext cx="504825" cy="209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800"/>
            <a:t>200</a:t>
          </a:r>
        </a:p>
      </xdr:txBody>
    </xdr:sp>
    <xdr:clientData/>
  </xdr:twoCellAnchor>
  <xdr:twoCellAnchor>
    <xdr:from>
      <xdr:col>15</xdr:col>
      <xdr:colOff>200025</xdr:colOff>
      <xdr:row>19</xdr:row>
      <xdr:rowOff>133350</xdr:rowOff>
    </xdr:from>
    <xdr:to>
      <xdr:col>16</xdr:col>
      <xdr:colOff>95250</xdr:colOff>
      <xdr:row>20</xdr:row>
      <xdr:rowOff>190500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 txBox="1"/>
      </xdr:nvSpPr>
      <xdr:spPr>
        <a:xfrm>
          <a:off x="10182225" y="3838575"/>
          <a:ext cx="504825" cy="209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800"/>
            <a:t>500</a:t>
          </a:r>
        </a:p>
      </xdr:txBody>
    </xdr:sp>
    <xdr:clientData/>
  </xdr:twoCellAnchor>
  <xdr:twoCellAnchor>
    <xdr:from>
      <xdr:col>16</xdr:col>
      <xdr:colOff>104775</xdr:colOff>
      <xdr:row>19</xdr:row>
      <xdr:rowOff>133350</xdr:rowOff>
    </xdr:from>
    <xdr:to>
      <xdr:col>17</xdr:col>
      <xdr:colOff>0</xdr:colOff>
      <xdr:row>20</xdr:row>
      <xdr:rowOff>190500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 txBox="1"/>
      </xdr:nvSpPr>
      <xdr:spPr>
        <a:xfrm>
          <a:off x="10696575" y="3838575"/>
          <a:ext cx="504825" cy="209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800"/>
            <a:t>750</a:t>
          </a:r>
        </a:p>
      </xdr:txBody>
    </xdr:sp>
    <xdr:clientData/>
  </xdr:twoCellAnchor>
  <xdr:twoCellAnchor>
    <xdr:from>
      <xdr:col>17</xdr:col>
      <xdr:colOff>9525</xdr:colOff>
      <xdr:row>19</xdr:row>
      <xdr:rowOff>133350</xdr:rowOff>
    </xdr:from>
    <xdr:to>
      <xdr:col>17</xdr:col>
      <xdr:colOff>514350</xdr:colOff>
      <xdr:row>20</xdr:row>
      <xdr:rowOff>190500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SpPr txBox="1"/>
      </xdr:nvSpPr>
      <xdr:spPr>
        <a:xfrm>
          <a:off x="11210925" y="3838575"/>
          <a:ext cx="504825" cy="209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800"/>
            <a:t>1000</a:t>
          </a:r>
        </a:p>
      </xdr:txBody>
    </xdr:sp>
    <xdr:clientData/>
  </xdr:twoCellAnchor>
  <xdr:twoCellAnchor>
    <xdr:from>
      <xdr:col>13</xdr:col>
      <xdr:colOff>190500</xdr:colOff>
      <xdr:row>21</xdr:row>
      <xdr:rowOff>9524</xdr:rowOff>
    </xdr:from>
    <xdr:to>
      <xdr:col>17</xdr:col>
      <xdr:colOff>514350</xdr:colOff>
      <xdr:row>22</xdr:row>
      <xdr:rowOff>200024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 txBox="1"/>
      </xdr:nvSpPr>
      <xdr:spPr>
        <a:xfrm>
          <a:off x="8896350" y="4067174"/>
          <a:ext cx="2819400" cy="409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/>
            <a:t>Legenda</a:t>
          </a:r>
        </a:p>
      </xdr:txBody>
    </xdr:sp>
    <xdr:clientData/>
  </xdr:twoCellAnchor>
  <xdr:twoCellAnchor>
    <xdr:from>
      <xdr:col>14</xdr:col>
      <xdr:colOff>180975</xdr:colOff>
      <xdr:row>21</xdr:row>
      <xdr:rowOff>104775</xdr:rowOff>
    </xdr:from>
    <xdr:to>
      <xdr:col>14</xdr:col>
      <xdr:colOff>438150</xdr:colOff>
      <xdr:row>22</xdr:row>
      <xdr:rowOff>85725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9496425" y="4162425"/>
          <a:ext cx="257175" cy="200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476251</xdr:colOff>
      <xdr:row>21</xdr:row>
      <xdr:rowOff>104775</xdr:rowOff>
    </xdr:from>
    <xdr:to>
      <xdr:col>15</xdr:col>
      <xdr:colOff>209551</xdr:colOff>
      <xdr:row>22</xdr:row>
      <xdr:rowOff>85725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SpPr txBox="1"/>
      </xdr:nvSpPr>
      <xdr:spPr>
        <a:xfrm>
          <a:off x="9791701" y="4162425"/>
          <a:ext cx="400050" cy="2000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800"/>
            <a:t>Base</a:t>
          </a:r>
        </a:p>
      </xdr:txBody>
    </xdr:sp>
    <xdr:clientData/>
  </xdr:twoCellAnchor>
  <xdr:twoCellAnchor>
    <xdr:from>
      <xdr:col>15</xdr:col>
      <xdr:colOff>381000</xdr:colOff>
      <xdr:row>21</xdr:row>
      <xdr:rowOff>114300</xdr:rowOff>
    </xdr:from>
    <xdr:to>
      <xdr:col>16</xdr:col>
      <xdr:colOff>28575</xdr:colOff>
      <xdr:row>22</xdr:row>
      <xdr:rowOff>95250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SpPr/>
      </xdr:nvSpPr>
      <xdr:spPr>
        <a:xfrm>
          <a:off x="10363200" y="4171950"/>
          <a:ext cx="257175" cy="200025"/>
        </a:xfrm>
        <a:prstGeom prst="rect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66675</xdr:colOff>
      <xdr:row>21</xdr:row>
      <xdr:rowOff>114300</xdr:rowOff>
    </xdr:from>
    <xdr:to>
      <xdr:col>17</xdr:col>
      <xdr:colOff>161924</xdr:colOff>
      <xdr:row>22</xdr:row>
      <xdr:rowOff>114300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 txBox="1"/>
      </xdr:nvSpPr>
      <xdr:spPr>
        <a:xfrm>
          <a:off x="10658475" y="4171950"/>
          <a:ext cx="704849" cy="21907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800"/>
            <a:t>Catalisador</a:t>
          </a:r>
        </a:p>
      </xdr:txBody>
    </xdr:sp>
    <xdr:clientData/>
  </xdr:twoCellAnchor>
  <xdr:twoCellAnchor>
    <xdr:from>
      <xdr:col>12</xdr:col>
      <xdr:colOff>0</xdr:colOff>
      <xdr:row>20</xdr:row>
      <xdr:rowOff>28575</xdr:rowOff>
    </xdr:from>
    <xdr:to>
      <xdr:col>12</xdr:col>
      <xdr:colOff>142872</xdr:colOff>
      <xdr:row>24</xdr:row>
      <xdr:rowOff>6107</xdr:rowOff>
    </xdr:to>
    <xdr:cxnSp macro="">
      <xdr:nvCxnSpPr>
        <xdr:cNvPr id="22" name="Conector: Angulado 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CxnSpPr/>
      </xdr:nvCxnSpPr>
      <xdr:spPr>
        <a:xfrm rot="16200000" flipH="1">
          <a:off x="7726482" y="4255968"/>
          <a:ext cx="882407" cy="142872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146046</xdr:colOff>
      <xdr:row>23</xdr:row>
      <xdr:rowOff>88905</xdr:rowOff>
    </xdr:from>
    <xdr:ext cx="1558928" cy="342786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 txBox="1"/>
      </xdr:nvSpPr>
      <xdr:spPr>
        <a:xfrm>
          <a:off x="8242296" y="4603755"/>
          <a:ext cx="1558928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800"/>
            <a:t>Nota 2: Tempo</a:t>
          </a:r>
          <a:r>
            <a:rPr lang="pt-BR" sz="800" baseline="0"/>
            <a:t> de viscosidade aprovado conforme RFA0192019</a:t>
          </a:r>
          <a:endParaRPr lang="pt-BR" sz="800"/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373380</xdr:colOff>
          <xdr:row>0</xdr:row>
          <xdr:rowOff>68580</xdr:rowOff>
        </xdr:from>
        <xdr:to>
          <xdr:col>18</xdr:col>
          <xdr:colOff>381000</xdr:colOff>
          <xdr:row>1</xdr:row>
          <xdr:rowOff>137160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7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28625" y="229552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104775</xdr:colOff>
      <xdr:row>17</xdr:row>
      <xdr:rowOff>28575</xdr:rowOff>
    </xdr:from>
    <xdr:to>
      <xdr:col>10</xdr:col>
      <xdr:colOff>37757</xdr:colOff>
      <xdr:row>23</xdr:row>
      <xdr:rowOff>47473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14675" y="3209925"/>
          <a:ext cx="2742857" cy="1219048"/>
        </a:xfrm>
        <a:prstGeom prst="rect">
          <a:avLst/>
        </a:prstGeom>
      </xdr:spPr>
    </xdr:pic>
    <xdr:clientData/>
  </xdr:twoCellAnchor>
  <xdr:twoCellAnchor>
    <xdr:from>
      <xdr:col>14</xdr:col>
      <xdr:colOff>276225</xdr:colOff>
      <xdr:row>2</xdr:row>
      <xdr:rowOff>9525</xdr:rowOff>
    </xdr:from>
    <xdr:to>
      <xdr:col>20</xdr:col>
      <xdr:colOff>466237</xdr:colOff>
      <xdr:row>24</xdr:row>
      <xdr:rowOff>28076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GrpSpPr/>
      </xdr:nvGrpSpPr>
      <xdr:grpSpPr>
        <a:xfrm>
          <a:off x="8298180" y="468630"/>
          <a:ext cx="4019062" cy="4072391"/>
          <a:chOff x="7600950" y="466725"/>
          <a:chExt cx="3904762" cy="3990476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600950" y="466725"/>
            <a:ext cx="3904762" cy="3990476"/>
          </a:xfrm>
          <a:prstGeom prst="rect">
            <a:avLst/>
          </a:prstGeom>
        </xdr:spPr>
      </xdr:pic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700-000007000000}"/>
              </a:ext>
            </a:extLst>
          </xdr:cNvPr>
          <xdr:cNvSpPr/>
        </xdr:nvSpPr>
        <xdr:spPr>
          <a:xfrm>
            <a:off x="10010775" y="4133850"/>
            <a:ext cx="914400" cy="24765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>
                <a:solidFill>
                  <a:schemeClr val="tx1"/>
                </a:solidFill>
              </a:rPr>
              <a:t>Thinner</a:t>
            </a:r>
          </a:p>
        </xdr:txBody>
      </xdr:sp>
    </xdr:grpSp>
    <xdr:clientData/>
  </xdr:twoCellAnchor>
  <xdr:oneCellAnchor>
    <xdr:from>
      <xdr:col>6</xdr:col>
      <xdr:colOff>28571</xdr:colOff>
      <xdr:row>25</xdr:row>
      <xdr:rowOff>9525</xdr:rowOff>
    </xdr:from>
    <xdr:ext cx="4155497" cy="342786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3305171" y="4686300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5</xdr:col>
      <xdr:colOff>152400</xdr:colOff>
      <xdr:row>22</xdr:row>
      <xdr:rowOff>142875</xdr:rowOff>
    </xdr:from>
    <xdr:to>
      <xdr:col>6</xdr:col>
      <xdr:colOff>28571</xdr:colOff>
      <xdr:row>25</xdr:row>
      <xdr:rowOff>180917</xdr:rowOff>
    </xdr:to>
    <xdr:cxnSp macro="">
      <xdr:nvCxnSpPr>
        <xdr:cNvPr id="10" name="Conector: Angulad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CxnSpPr>
          <a:endCxn id="9" idx="1"/>
        </xdr:cNvCxnSpPr>
      </xdr:nvCxnSpPr>
      <xdr:spPr>
        <a:xfrm rot="16200000" flipH="1">
          <a:off x="2857527" y="4410048"/>
          <a:ext cx="752417" cy="142871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9525</xdr:colOff>
      <xdr:row>32</xdr:row>
      <xdr:rowOff>38100</xdr:rowOff>
    </xdr:from>
    <xdr:to>
      <xdr:col>13</xdr:col>
      <xdr:colOff>504010</xdr:colOff>
      <xdr:row>37</xdr:row>
      <xdr:rowOff>180975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76975" y="6619875"/>
          <a:ext cx="1275535" cy="109537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160020</xdr:colOff>
          <xdr:row>1</xdr:row>
          <xdr:rowOff>22860</xdr:rowOff>
        </xdr:from>
        <xdr:to>
          <xdr:col>7</xdr:col>
          <xdr:colOff>487680</xdr:colOff>
          <xdr:row>2</xdr:row>
          <xdr:rowOff>114300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1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 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0</xdr:row>
          <xdr:rowOff>68580</xdr:rowOff>
        </xdr:from>
        <xdr:to>
          <xdr:col>16</xdr:col>
          <xdr:colOff>327660</xdr:colOff>
          <xdr:row>1</xdr:row>
          <xdr:rowOff>137160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9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428625" y="233362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123825</xdr:colOff>
      <xdr:row>18</xdr:row>
      <xdr:rowOff>123825</xdr:rowOff>
    </xdr:from>
    <xdr:to>
      <xdr:col>9</xdr:col>
      <xdr:colOff>28231</xdr:colOff>
      <xdr:row>24</xdr:row>
      <xdr:rowOff>28426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33750" y="3505200"/>
          <a:ext cx="2752381" cy="1190476"/>
        </a:xfrm>
        <a:prstGeom prst="rect">
          <a:avLst/>
        </a:prstGeom>
      </xdr:spPr>
    </xdr:pic>
    <xdr:clientData/>
  </xdr:twoCellAnchor>
  <xdr:oneCellAnchor>
    <xdr:from>
      <xdr:col>5</xdr:col>
      <xdr:colOff>314321</xdr:colOff>
      <xdr:row>24</xdr:row>
      <xdr:rowOff>171450</xdr:rowOff>
    </xdr:from>
    <xdr:ext cx="4155497" cy="342786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 txBox="1"/>
      </xdr:nvSpPr>
      <xdr:spPr>
        <a:xfrm>
          <a:off x="3524246" y="4838700"/>
          <a:ext cx="4155497" cy="34278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Nota: A pressão de trabalho a ser utilizado para o Mix, deve ser entre 10 a 60psi</a:t>
          </a:r>
          <a:r>
            <a:rPr lang="pt-BR" sz="800" baseline="0"/>
            <a:t> (referência) de</a:t>
          </a:r>
        </a:p>
        <a:p>
          <a:r>
            <a:rPr lang="pt-BR" sz="800" baseline="0"/>
            <a:t>acordo com avaliação da necessidade pelo responsável </a:t>
          </a:r>
          <a:endParaRPr lang="pt-BR" sz="800"/>
        </a:p>
      </xdr:txBody>
    </xdr:sp>
    <xdr:clientData/>
  </xdr:oneCellAnchor>
  <xdr:twoCellAnchor>
    <xdr:from>
      <xdr:col>5</xdr:col>
      <xdr:colOff>171450</xdr:colOff>
      <xdr:row>22</xdr:row>
      <xdr:rowOff>47625</xdr:rowOff>
    </xdr:from>
    <xdr:to>
      <xdr:col>5</xdr:col>
      <xdr:colOff>314321</xdr:colOff>
      <xdr:row>25</xdr:row>
      <xdr:rowOff>95192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CxnSpPr>
          <a:endCxn id="6" idx="1"/>
        </xdr:cNvCxnSpPr>
      </xdr:nvCxnSpPr>
      <xdr:spPr>
        <a:xfrm rot="16200000" flipH="1">
          <a:off x="3076602" y="4562448"/>
          <a:ext cx="752417" cy="142871"/>
        </a:xfrm>
        <a:prstGeom prst="bentConnector2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581025</xdr:colOff>
      <xdr:row>5</xdr:row>
      <xdr:rowOff>76200</xdr:rowOff>
    </xdr:from>
    <xdr:to>
      <xdr:col>17</xdr:col>
      <xdr:colOff>142875</xdr:colOff>
      <xdr:row>17</xdr:row>
      <xdr:rowOff>114300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10500" y="1095375"/>
          <a:ext cx="3371850" cy="2209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C00000"/>
              </a:solidFill>
            </a:rPr>
            <a:t>PREPARAÇÃO DESTA TINTA</a:t>
          </a:r>
          <a:r>
            <a:rPr lang="pt-BR" sz="1600" b="1" baseline="0">
              <a:solidFill>
                <a:srgbClr val="C00000"/>
              </a:solidFill>
            </a:rPr>
            <a:t> DEVE SER DE 4:1</a:t>
          </a:r>
        </a:p>
        <a:p>
          <a:pPr algn="ctr"/>
          <a:endParaRPr lang="pt-BR" sz="1600" b="1" baseline="0">
            <a:solidFill>
              <a:srgbClr val="C00000"/>
            </a:solidFill>
          </a:endParaRPr>
        </a:p>
        <a:p>
          <a:pPr algn="ctr"/>
          <a:r>
            <a:rPr lang="pt-BR" sz="1600" b="1" baseline="0">
              <a:solidFill>
                <a:srgbClr val="C00000"/>
              </a:solidFill>
            </a:rPr>
            <a:t>IREMOS INCLUIR A TABELA COM AS FRAÇÕES NESTA IMAGEM POSTERIORMENTE</a:t>
          </a:r>
          <a:endParaRPr lang="pt-BR" sz="1600" b="1">
            <a:solidFill>
              <a:srgbClr val="C00000"/>
            </a:solidFill>
          </a:endParaRPr>
        </a:p>
      </xdr:txBody>
    </xdr:sp>
    <xdr:clientData/>
  </xdr:twoCellAnchor>
  <xdr:twoCellAnchor>
    <xdr:from>
      <xdr:col>13</xdr:col>
      <xdr:colOff>71439</xdr:colOff>
      <xdr:row>23</xdr:row>
      <xdr:rowOff>4762</xdr:rowOff>
    </xdr:from>
    <xdr:to>
      <xdr:col>13</xdr:col>
      <xdr:colOff>585789</xdr:colOff>
      <xdr:row>24</xdr:row>
      <xdr:rowOff>4762</xdr:rowOff>
    </xdr:to>
    <xdr:sp macro="" textlink="">
      <xdr:nvSpPr>
        <xdr:cNvPr id="8" name="Seta: para Baixo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/>
      </xdr:nvSpPr>
      <xdr:spPr>
        <a:xfrm rot="16200000">
          <a:off x="8753476" y="4295775"/>
          <a:ext cx="238125" cy="5143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0</xdr:row>
          <xdr:rowOff>83820</xdr:rowOff>
        </xdr:from>
        <xdr:to>
          <xdr:col>14</xdr:col>
          <xdr:colOff>106680</xdr:colOff>
          <xdr:row>1</xdr:row>
          <xdr:rowOff>152400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A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</xdr:row>
      <xdr:rowOff>0</xdr:rowOff>
    </xdr:from>
    <xdr:to>
      <xdr:col>1</xdr:col>
      <xdr:colOff>533400</xdr:colOff>
      <xdr:row>13</xdr:row>
      <xdr:rowOff>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28625" y="3095625"/>
          <a:ext cx="2857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6.xml"/><Relationship Id="rId18" Type="http://schemas.openxmlformats.org/officeDocument/2006/relationships/ctrlProp" Target="../ctrlProps/ctrlProp41.xml"/><Relationship Id="rId26" Type="http://schemas.openxmlformats.org/officeDocument/2006/relationships/ctrlProp" Target="../ctrlProps/ctrlProp49.xml"/><Relationship Id="rId3" Type="http://schemas.openxmlformats.org/officeDocument/2006/relationships/vmlDrawing" Target="../drawings/vmlDrawing12.vml"/><Relationship Id="rId21" Type="http://schemas.openxmlformats.org/officeDocument/2006/relationships/ctrlProp" Target="../ctrlProps/ctrlProp44.xml"/><Relationship Id="rId34" Type="http://schemas.openxmlformats.org/officeDocument/2006/relationships/ctrlProp" Target="../ctrlProps/ctrlProp57.x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17" Type="http://schemas.openxmlformats.org/officeDocument/2006/relationships/ctrlProp" Target="../ctrlProps/ctrlProp40.xml"/><Relationship Id="rId25" Type="http://schemas.openxmlformats.org/officeDocument/2006/relationships/ctrlProp" Target="../ctrlProps/ctrlProp48.xml"/><Relationship Id="rId33" Type="http://schemas.openxmlformats.org/officeDocument/2006/relationships/ctrlProp" Target="../ctrlProps/ctrlProp56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39.xml"/><Relationship Id="rId20" Type="http://schemas.openxmlformats.org/officeDocument/2006/relationships/ctrlProp" Target="../ctrlProps/ctrlProp43.xml"/><Relationship Id="rId29" Type="http://schemas.openxmlformats.org/officeDocument/2006/relationships/ctrlProp" Target="../ctrlProps/ctrlProp5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24" Type="http://schemas.openxmlformats.org/officeDocument/2006/relationships/ctrlProp" Target="../ctrlProps/ctrlProp47.xml"/><Relationship Id="rId32" Type="http://schemas.openxmlformats.org/officeDocument/2006/relationships/ctrlProp" Target="../ctrlProps/ctrlProp55.xml"/><Relationship Id="rId5" Type="http://schemas.openxmlformats.org/officeDocument/2006/relationships/ctrlProp" Target="../ctrlProps/ctrlProp28.xml"/><Relationship Id="rId15" Type="http://schemas.openxmlformats.org/officeDocument/2006/relationships/ctrlProp" Target="../ctrlProps/ctrlProp38.xml"/><Relationship Id="rId23" Type="http://schemas.openxmlformats.org/officeDocument/2006/relationships/ctrlProp" Target="../ctrlProps/ctrlProp46.xml"/><Relationship Id="rId28" Type="http://schemas.openxmlformats.org/officeDocument/2006/relationships/ctrlProp" Target="../ctrlProps/ctrlProp51.xml"/><Relationship Id="rId36" Type="http://schemas.openxmlformats.org/officeDocument/2006/relationships/ctrlProp" Target="../ctrlProps/ctrlProp59.xml"/><Relationship Id="rId10" Type="http://schemas.openxmlformats.org/officeDocument/2006/relationships/ctrlProp" Target="../ctrlProps/ctrlProp33.xml"/><Relationship Id="rId19" Type="http://schemas.openxmlformats.org/officeDocument/2006/relationships/ctrlProp" Target="../ctrlProps/ctrlProp42.xml"/><Relationship Id="rId31" Type="http://schemas.openxmlformats.org/officeDocument/2006/relationships/ctrlProp" Target="../ctrlProps/ctrlProp54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Relationship Id="rId14" Type="http://schemas.openxmlformats.org/officeDocument/2006/relationships/ctrlProp" Target="../ctrlProps/ctrlProp37.xml"/><Relationship Id="rId22" Type="http://schemas.openxmlformats.org/officeDocument/2006/relationships/ctrlProp" Target="../ctrlProps/ctrlProp45.xml"/><Relationship Id="rId27" Type="http://schemas.openxmlformats.org/officeDocument/2006/relationships/ctrlProp" Target="../ctrlProps/ctrlProp50.xml"/><Relationship Id="rId30" Type="http://schemas.openxmlformats.org/officeDocument/2006/relationships/ctrlProp" Target="../ctrlProps/ctrlProp53.xml"/><Relationship Id="rId35" Type="http://schemas.openxmlformats.org/officeDocument/2006/relationships/ctrlProp" Target="../ctrlProps/ctrlProp58.xml"/><Relationship Id="rId8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6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6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6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6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6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6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6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L149"/>
  <sheetViews>
    <sheetView topLeftCell="A53" zoomScale="70" zoomScaleNormal="70" workbookViewId="0">
      <selection activeCell="B59" sqref="B59"/>
    </sheetView>
  </sheetViews>
  <sheetFormatPr defaultRowHeight="14.4"/>
  <cols>
    <col min="1" max="1" width="10" style="36" customWidth="1"/>
    <col min="2" max="2" width="29.88671875" style="36" customWidth="1"/>
    <col min="3" max="3" width="43.109375" style="36" customWidth="1"/>
    <col min="4" max="4" width="15.5546875" style="37" customWidth="1"/>
    <col min="5" max="5" width="4.109375" hidden="1" customWidth="1"/>
    <col min="6" max="6" width="35.109375" customWidth="1"/>
    <col min="7" max="7" width="17.33203125" customWidth="1"/>
    <col min="8" max="8" width="21.109375" customWidth="1"/>
    <col min="9" max="9" width="28.109375" customWidth="1"/>
    <col min="10" max="10" width="32.33203125" customWidth="1"/>
    <col min="11" max="11" width="27.6640625" customWidth="1"/>
    <col min="12" max="12" width="24.109375" customWidth="1"/>
    <col min="252" max="252" width="10" customWidth="1"/>
    <col min="253" max="253" width="29.88671875" customWidth="1"/>
    <col min="254" max="254" width="40.6640625" customWidth="1"/>
    <col min="255" max="255" width="13.44140625" customWidth="1"/>
    <col min="256" max="256" width="10" customWidth="1"/>
    <col min="257" max="257" width="8.88671875" customWidth="1"/>
    <col min="258" max="258" width="9.5546875" customWidth="1"/>
    <col min="259" max="259" width="9.33203125" customWidth="1"/>
    <col min="260" max="260" width="8.6640625" customWidth="1"/>
    <col min="261" max="261" width="10.44140625" customWidth="1"/>
    <col min="508" max="508" width="10" customWidth="1"/>
    <col min="509" max="509" width="29.88671875" customWidth="1"/>
    <col min="510" max="510" width="40.6640625" customWidth="1"/>
    <col min="511" max="511" width="13.44140625" customWidth="1"/>
    <col min="512" max="512" width="10" customWidth="1"/>
    <col min="513" max="513" width="8.88671875" customWidth="1"/>
    <col min="514" max="514" width="9.5546875" customWidth="1"/>
    <col min="515" max="515" width="9.33203125" customWidth="1"/>
    <col min="516" max="516" width="8.6640625" customWidth="1"/>
    <col min="517" max="517" width="10.44140625" customWidth="1"/>
    <col min="764" max="764" width="10" customWidth="1"/>
    <col min="765" max="765" width="29.88671875" customWidth="1"/>
    <col min="766" max="766" width="40.6640625" customWidth="1"/>
    <col min="767" max="767" width="13.44140625" customWidth="1"/>
    <col min="768" max="768" width="10" customWidth="1"/>
    <col min="769" max="769" width="8.88671875" customWidth="1"/>
    <col min="770" max="770" width="9.5546875" customWidth="1"/>
    <col min="771" max="771" width="9.33203125" customWidth="1"/>
    <col min="772" max="772" width="8.6640625" customWidth="1"/>
    <col min="773" max="773" width="10.44140625" customWidth="1"/>
    <col min="1020" max="1020" width="10" customWidth="1"/>
    <col min="1021" max="1021" width="29.88671875" customWidth="1"/>
    <col min="1022" max="1022" width="40.6640625" customWidth="1"/>
    <col min="1023" max="1023" width="13.44140625" customWidth="1"/>
    <col min="1024" max="1024" width="10" customWidth="1"/>
    <col min="1025" max="1025" width="8.88671875" customWidth="1"/>
    <col min="1026" max="1026" width="9.5546875" customWidth="1"/>
    <col min="1027" max="1027" width="9.33203125" customWidth="1"/>
    <col min="1028" max="1028" width="8.6640625" customWidth="1"/>
    <col min="1029" max="1029" width="10.44140625" customWidth="1"/>
    <col min="1276" max="1276" width="10" customWidth="1"/>
    <col min="1277" max="1277" width="29.88671875" customWidth="1"/>
    <col min="1278" max="1278" width="40.6640625" customWidth="1"/>
    <col min="1279" max="1279" width="13.44140625" customWidth="1"/>
    <col min="1280" max="1280" width="10" customWidth="1"/>
    <col min="1281" max="1281" width="8.88671875" customWidth="1"/>
    <col min="1282" max="1282" width="9.5546875" customWidth="1"/>
    <col min="1283" max="1283" width="9.33203125" customWidth="1"/>
    <col min="1284" max="1284" width="8.6640625" customWidth="1"/>
    <col min="1285" max="1285" width="10.44140625" customWidth="1"/>
    <col min="1532" max="1532" width="10" customWidth="1"/>
    <col min="1533" max="1533" width="29.88671875" customWidth="1"/>
    <col min="1534" max="1534" width="40.6640625" customWidth="1"/>
    <col min="1535" max="1535" width="13.44140625" customWidth="1"/>
    <col min="1536" max="1536" width="10" customWidth="1"/>
    <col min="1537" max="1537" width="8.88671875" customWidth="1"/>
    <col min="1538" max="1538" width="9.5546875" customWidth="1"/>
    <col min="1539" max="1539" width="9.33203125" customWidth="1"/>
    <col min="1540" max="1540" width="8.6640625" customWidth="1"/>
    <col min="1541" max="1541" width="10.44140625" customWidth="1"/>
    <col min="1788" max="1788" width="10" customWidth="1"/>
    <col min="1789" max="1789" width="29.88671875" customWidth="1"/>
    <col min="1790" max="1790" width="40.6640625" customWidth="1"/>
    <col min="1791" max="1791" width="13.44140625" customWidth="1"/>
    <col min="1792" max="1792" width="10" customWidth="1"/>
    <col min="1793" max="1793" width="8.88671875" customWidth="1"/>
    <col min="1794" max="1794" width="9.5546875" customWidth="1"/>
    <col min="1795" max="1795" width="9.33203125" customWidth="1"/>
    <col min="1796" max="1796" width="8.6640625" customWidth="1"/>
    <col min="1797" max="1797" width="10.44140625" customWidth="1"/>
    <col min="2044" max="2044" width="10" customWidth="1"/>
    <col min="2045" max="2045" width="29.88671875" customWidth="1"/>
    <col min="2046" max="2046" width="40.6640625" customWidth="1"/>
    <col min="2047" max="2047" width="13.44140625" customWidth="1"/>
    <col min="2048" max="2048" width="10" customWidth="1"/>
    <col min="2049" max="2049" width="8.88671875" customWidth="1"/>
    <col min="2050" max="2050" width="9.5546875" customWidth="1"/>
    <col min="2051" max="2051" width="9.33203125" customWidth="1"/>
    <col min="2052" max="2052" width="8.6640625" customWidth="1"/>
    <col min="2053" max="2053" width="10.44140625" customWidth="1"/>
    <col min="2300" max="2300" width="10" customWidth="1"/>
    <col min="2301" max="2301" width="29.88671875" customWidth="1"/>
    <col min="2302" max="2302" width="40.6640625" customWidth="1"/>
    <col min="2303" max="2303" width="13.44140625" customWidth="1"/>
    <col min="2304" max="2304" width="10" customWidth="1"/>
    <col min="2305" max="2305" width="8.88671875" customWidth="1"/>
    <col min="2306" max="2306" width="9.5546875" customWidth="1"/>
    <col min="2307" max="2307" width="9.33203125" customWidth="1"/>
    <col min="2308" max="2308" width="8.6640625" customWidth="1"/>
    <col min="2309" max="2309" width="10.44140625" customWidth="1"/>
    <col min="2556" max="2556" width="10" customWidth="1"/>
    <col min="2557" max="2557" width="29.88671875" customWidth="1"/>
    <col min="2558" max="2558" width="40.6640625" customWidth="1"/>
    <col min="2559" max="2559" width="13.44140625" customWidth="1"/>
    <col min="2560" max="2560" width="10" customWidth="1"/>
    <col min="2561" max="2561" width="8.88671875" customWidth="1"/>
    <col min="2562" max="2562" width="9.5546875" customWidth="1"/>
    <col min="2563" max="2563" width="9.33203125" customWidth="1"/>
    <col min="2564" max="2564" width="8.6640625" customWidth="1"/>
    <col min="2565" max="2565" width="10.44140625" customWidth="1"/>
    <col min="2812" max="2812" width="10" customWidth="1"/>
    <col min="2813" max="2813" width="29.88671875" customWidth="1"/>
    <col min="2814" max="2814" width="40.6640625" customWidth="1"/>
    <col min="2815" max="2815" width="13.44140625" customWidth="1"/>
    <col min="2816" max="2816" width="10" customWidth="1"/>
    <col min="2817" max="2817" width="8.88671875" customWidth="1"/>
    <col min="2818" max="2818" width="9.5546875" customWidth="1"/>
    <col min="2819" max="2819" width="9.33203125" customWidth="1"/>
    <col min="2820" max="2820" width="8.6640625" customWidth="1"/>
    <col min="2821" max="2821" width="10.44140625" customWidth="1"/>
    <col min="3068" max="3068" width="10" customWidth="1"/>
    <col min="3069" max="3069" width="29.88671875" customWidth="1"/>
    <col min="3070" max="3070" width="40.6640625" customWidth="1"/>
    <col min="3071" max="3071" width="13.44140625" customWidth="1"/>
    <col min="3072" max="3072" width="10" customWidth="1"/>
    <col min="3073" max="3073" width="8.88671875" customWidth="1"/>
    <col min="3074" max="3074" width="9.5546875" customWidth="1"/>
    <col min="3075" max="3075" width="9.33203125" customWidth="1"/>
    <col min="3076" max="3076" width="8.6640625" customWidth="1"/>
    <col min="3077" max="3077" width="10.44140625" customWidth="1"/>
    <col min="3324" max="3324" width="10" customWidth="1"/>
    <col min="3325" max="3325" width="29.88671875" customWidth="1"/>
    <col min="3326" max="3326" width="40.6640625" customWidth="1"/>
    <col min="3327" max="3327" width="13.44140625" customWidth="1"/>
    <col min="3328" max="3328" width="10" customWidth="1"/>
    <col min="3329" max="3329" width="8.88671875" customWidth="1"/>
    <col min="3330" max="3330" width="9.5546875" customWidth="1"/>
    <col min="3331" max="3331" width="9.33203125" customWidth="1"/>
    <col min="3332" max="3332" width="8.6640625" customWidth="1"/>
    <col min="3333" max="3333" width="10.44140625" customWidth="1"/>
    <col min="3580" max="3580" width="10" customWidth="1"/>
    <col min="3581" max="3581" width="29.88671875" customWidth="1"/>
    <col min="3582" max="3582" width="40.6640625" customWidth="1"/>
    <col min="3583" max="3583" width="13.44140625" customWidth="1"/>
    <col min="3584" max="3584" width="10" customWidth="1"/>
    <col min="3585" max="3585" width="8.88671875" customWidth="1"/>
    <col min="3586" max="3586" width="9.5546875" customWidth="1"/>
    <col min="3587" max="3587" width="9.33203125" customWidth="1"/>
    <col min="3588" max="3588" width="8.6640625" customWidth="1"/>
    <col min="3589" max="3589" width="10.44140625" customWidth="1"/>
    <col min="3836" max="3836" width="10" customWidth="1"/>
    <col min="3837" max="3837" width="29.88671875" customWidth="1"/>
    <col min="3838" max="3838" width="40.6640625" customWidth="1"/>
    <col min="3839" max="3839" width="13.44140625" customWidth="1"/>
    <col min="3840" max="3840" width="10" customWidth="1"/>
    <col min="3841" max="3841" width="8.88671875" customWidth="1"/>
    <col min="3842" max="3842" width="9.5546875" customWidth="1"/>
    <col min="3843" max="3843" width="9.33203125" customWidth="1"/>
    <col min="3844" max="3844" width="8.6640625" customWidth="1"/>
    <col min="3845" max="3845" width="10.44140625" customWidth="1"/>
    <col min="4092" max="4092" width="10" customWidth="1"/>
    <col min="4093" max="4093" width="29.88671875" customWidth="1"/>
    <col min="4094" max="4094" width="40.6640625" customWidth="1"/>
    <col min="4095" max="4095" width="13.44140625" customWidth="1"/>
    <col min="4096" max="4096" width="10" customWidth="1"/>
    <col min="4097" max="4097" width="8.88671875" customWidth="1"/>
    <col min="4098" max="4098" width="9.5546875" customWidth="1"/>
    <col min="4099" max="4099" width="9.33203125" customWidth="1"/>
    <col min="4100" max="4100" width="8.6640625" customWidth="1"/>
    <col min="4101" max="4101" width="10.44140625" customWidth="1"/>
    <col min="4348" max="4348" width="10" customWidth="1"/>
    <col min="4349" max="4349" width="29.88671875" customWidth="1"/>
    <col min="4350" max="4350" width="40.6640625" customWidth="1"/>
    <col min="4351" max="4351" width="13.44140625" customWidth="1"/>
    <col min="4352" max="4352" width="10" customWidth="1"/>
    <col min="4353" max="4353" width="8.88671875" customWidth="1"/>
    <col min="4354" max="4354" width="9.5546875" customWidth="1"/>
    <col min="4355" max="4355" width="9.33203125" customWidth="1"/>
    <col min="4356" max="4356" width="8.6640625" customWidth="1"/>
    <col min="4357" max="4357" width="10.44140625" customWidth="1"/>
    <col min="4604" max="4604" width="10" customWidth="1"/>
    <col min="4605" max="4605" width="29.88671875" customWidth="1"/>
    <col min="4606" max="4606" width="40.6640625" customWidth="1"/>
    <col min="4607" max="4607" width="13.44140625" customWidth="1"/>
    <col min="4608" max="4608" width="10" customWidth="1"/>
    <col min="4609" max="4609" width="8.88671875" customWidth="1"/>
    <col min="4610" max="4610" width="9.5546875" customWidth="1"/>
    <col min="4611" max="4611" width="9.33203125" customWidth="1"/>
    <col min="4612" max="4612" width="8.6640625" customWidth="1"/>
    <col min="4613" max="4613" width="10.44140625" customWidth="1"/>
    <col min="4860" max="4860" width="10" customWidth="1"/>
    <col min="4861" max="4861" width="29.88671875" customWidth="1"/>
    <col min="4862" max="4862" width="40.6640625" customWidth="1"/>
    <col min="4863" max="4863" width="13.44140625" customWidth="1"/>
    <col min="4864" max="4864" width="10" customWidth="1"/>
    <col min="4865" max="4865" width="8.88671875" customWidth="1"/>
    <col min="4866" max="4866" width="9.5546875" customWidth="1"/>
    <col min="4867" max="4867" width="9.33203125" customWidth="1"/>
    <col min="4868" max="4868" width="8.6640625" customWidth="1"/>
    <col min="4869" max="4869" width="10.44140625" customWidth="1"/>
    <col min="5116" max="5116" width="10" customWidth="1"/>
    <col min="5117" max="5117" width="29.88671875" customWidth="1"/>
    <col min="5118" max="5118" width="40.6640625" customWidth="1"/>
    <col min="5119" max="5119" width="13.44140625" customWidth="1"/>
    <col min="5120" max="5120" width="10" customWidth="1"/>
    <col min="5121" max="5121" width="8.88671875" customWidth="1"/>
    <col min="5122" max="5122" width="9.5546875" customWidth="1"/>
    <col min="5123" max="5123" width="9.33203125" customWidth="1"/>
    <col min="5124" max="5124" width="8.6640625" customWidth="1"/>
    <col min="5125" max="5125" width="10.44140625" customWidth="1"/>
    <col min="5372" max="5372" width="10" customWidth="1"/>
    <col min="5373" max="5373" width="29.88671875" customWidth="1"/>
    <col min="5374" max="5374" width="40.6640625" customWidth="1"/>
    <col min="5375" max="5375" width="13.44140625" customWidth="1"/>
    <col min="5376" max="5376" width="10" customWidth="1"/>
    <col min="5377" max="5377" width="8.88671875" customWidth="1"/>
    <col min="5378" max="5378" width="9.5546875" customWidth="1"/>
    <col min="5379" max="5379" width="9.33203125" customWidth="1"/>
    <col min="5380" max="5380" width="8.6640625" customWidth="1"/>
    <col min="5381" max="5381" width="10.44140625" customWidth="1"/>
    <col min="5628" max="5628" width="10" customWidth="1"/>
    <col min="5629" max="5629" width="29.88671875" customWidth="1"/>
    <col min="5630" max="5630" width="40.6640625" customWidth="1"/>
    <col min="5631" max="5631" width="13.44140625" customWidth="1"/>
    <col min="5632" max="5632" width="10" customWidth="1"/>
    <col min="5633" max="5633" width="8.88671875" customWidth="1"/>
    <col min="5634" max="5634" width="9.5546875" customWidth="1"/>
    <col min="5635" max="5635" width="9.33203125" customWidth="1"/>
    <col min="5636" max="5636" width="8.6640625" customWidth="1"/>
    <col min="5637" max="5637" width="10.44140625" customWidth="1"/>
    <col min="5884" max="5884" width="10" customWidth="1"/>
    <col min="5885" max="5885" width="29.88671875" customWidth="1"/>
    <col min="5886" max="5886" width="40.6640625" customWidth="1"/>
    <col min="5887" max="5887" width="13.44140625" customWidth="1"/>
    <col min="5888" max="5888" width="10" customWidth="1"/>
    <col min="5889" max="5889" width="8.88671875" customWidth="1"/>
    <col min="5890" max="5890" width="9.5546875" customWidth="1"/>
    <col min="5891" max="5891" width="9.33203125" customWidth="1"/>
    <col min="5892" max="5892" width="8.6640625" customWidth="1"/>
    <col min="5893" max="5893" width="10.44140625" customWidth="1"/>
    <col min="6140" max="6140" width="10" customWidth="1"/>
    <col min="6141" max="6141" width="29.88671875" customWidth="1"/>
    <col min="6142" max="6142" width="40.6640625" customWidth="1"/>
    <col min="6143" max="6143" width="13.44140625" customWidth="1"/>
    <col min="6144" max="6144" width="10" customWidth="1"/>
    <col min="6145" max="6145" width="8.88671875" customWidth="1"/>
    <col min="6146" max="6146" width="9.5546875" customWidth="1"/>
    <col min="6147" max="6147" width="9.33203125" customWidth="1"/>
    <col min="6148" max="6148" width="8.6640625" customWidth="1"/>
    <col min="6149" max="6149" width="10.44140625" customWidth="1"/>
    <col min="6396" max="6396" width="10" customWidth="1"/>
    <col min="6397" max="6397" width="29.88671875" customWidth="1"/>
    <col min="6398" max="6398" width="40.6640625" customWidth="1"/>
    <col min="6399" max="6399" width="13.44140625" customWidth="1"/>
    <col min="6400" max="6400" width="10" customWidth="1"/>
    <col min="6401" max="6401" width="8.88671875" customWidth="1"/>
    <col min="6402" max="6402" width="9.5546875" customWidth="1"/>
    <col min="6403" max="6403" width="9.33203125" customWidth="1"/>
    <col min="6404" max="6404" width="8.6640625" customWidth="1"/>
    <col min="6405" max="6405" width="10.44140625" customWidth="1"/>
    <col min="6652" max="6652" width="10" customWidth="1"/>
    <col min="6653" max="6653" width="29.88671875" customWidth="1"/>
    <col min="6654" max="6654" width="40.6640625" customWidth="1"/>
    <col min="6655" max="6655" width="13.44140625" customWidth="1"/>
    <col min="6656" max="6656" width="10" customWidth="1"/>
    <col min="6657" max="6657" width="8.88671875" customWidth="1"/>
    <col min="6658" max="6658" width="9.5546875" customWidth="1"/>
    <col min="6659" max="6659" width="9.33203125" customWidth="1"/>
    <col min="6660" max="6660" width="8.6640625" customWidth="1"/>
    <col min="6661" max="6661" width="10.44140625" customWidth="1"/>
    <col min="6908" max="6908" width="10" customWidth="1"/>
    <col min="6909" max="6909" width="29.88671875" customWidth="1"/>
    <col min="6910" max="6910" width="40.6640625" customWidth="1"/>
    <col min="6911" max="6911" width="13.44140625" customWidth="1"/>
    <col min="6912" max="6912" width="10" customWidth="1"/>
    <col min="6913" max="6913" width="8.88671875" customWidth="1"/>
    <col min="6914" max="6914" width="9.5546875" customWidth="1"/>
    <col min="6915" max="6915" width="9.33203125" customWidth="1"/>
    <col min="6916" max="6916" width="8.6640625" customWidth="1"/>
    <col min="6917" max="6917" width="10.44140625" customWidth="1"/>
    <col min="7164" max="7164" width="10" customWidth="1"/>
    <col min="7165" max="7165" width="29.88671875" customWidth="1"/>
    <col min="7166" max="7166" width="40.6640625" customWidth="1"/>
    <col min="7167" max="7167" width="13.44140625" customWidth="1"/>
    <col min="7168" max="7168" width="10" customWidth="1"/>
    <col min="7169" max="7169" width="8.88671875" customWidth="1"/>
    <col min="7170" max="7170" width="9.5546875" customWidth="1"/>
    <col min="7171" max="7171" width="9.33203125" customWidth="1"/>
    <col min="7172" max="7172" width="8.6640625" customWidth="1"/>
    <col min="7173" max="7173" width="10.44140625" customWidth="1"/>
    <col min="7420" max="7420" width="10" customWidth="1"/>
    <col min="7421" max="7421" width="29.88671875" customWidth="1"/>
    <col min="7422" max="7422" width="40.6640625" customWidth="1"/>
    <col min="7423" max="7423" width="13.44140625" customWidth="1"/>
    <col min="7424" max="7424" width="10" customWidth="1"/>
    <col min="7425" max="7425" width="8.88671875" customWidth="1"/>
    <col min="7426" max="7426" width="9.5546875" customWidth="1"/>
    <col min="7427" max="7427" width="9.33203125" customWidth="1"/>
    <col min="7428" max="7428" width="8.6640625" customWidth="1"/>
    <col min="7429" max="7429" width="10.44140625" customWidth="1"/>
    <col min="7676" max="7676" width="10" customWidth="1"/>
    <col min="7677" max="7677" width="29.88671875" customWidth="1"/>
    <col min="7678" max="7678" width="40.6640625" customWidth="1"/>
    <col min="7679" max="7679" width="13.44140625" customWidth="1"/>
    <col min="7680" max="7680" width="10" customWidth="1"/>
    <col min="7681" max="7681" width="8.88671875" customWidth="1"/>
    <col min="7682" max="7682" width="9.5546875" customWidth="1"/>
    <col min="7683" max="7683" width="9.33203125" customWidth="1"/>
    <col min="7684" max="7684" width="8.6640625" customWidth="1"/>
    <col min="7685" max="7685" width="10.44140625" customWidth="1"/>
    <col min="7932" max="7932" width="10" customWidth="1"/>
    <col min="7933" max="7933" width="29.88671875" customWidth="1"/>
    <col min="7934" max="7934" width="40.6640625" customWidth="1"/>
    <col min="7935" max="7935" width="13.44140625" customWidth="1"/>
    <col min="7936" max="7936" width="10" customWidth="1"/>
    <col min="7937" max="7937" width="8.88671875" customWidth="1"/>
    <col min="7938" max="7938" width="9.5546875" customWidth="1"/>
    <col min="7939" max="7939" width="9.33203125" customWidth="1"/>
    <col min="7940" max="7940" width="8.6640625" customWidth="1"/>
    <col min="7941" max="7941" width="10.44140625" customWidth="1"/>
    <col min="8188" max="8188" width="10" customWidth="1"/>
    <col min="8189" max="8189" width="29.88671875" customWidth="1"/>
    <col min="8190" max="8190" width="40.6640625" customWidth="1"/>
    <col min="8191" max="8191" width="13.44140625" customWidth="1"/>
    <col min="8192" max="8192" width="10" customWidth="1"/>
    <col min="8193" max="8193" width="8.88671875" customWidth="1"/>
    <col min="8194" max="8194" width="9.5546875" customWidth="1"/>
    <col min="8195" max="8195" width="9.33203125" customWidth="1"/>
    <col min="8196" max="8196" width="8.6640625" customWidth="1"/>
    <col min="8197" max="8197" width="10.44140625" customWidth="1"/>
    <col min="8444" max="8444" width="10" customWidth="1"/>
    <col min="8445" max="8445" width="29.88671875" customWidth="1"/>
    <col min="8446" max="8446" width="40.6640625" customWidth="1"/>
    <col min="8447" max="8447" width="13.44140625" customWidth="1"/>
    <col min="8448" max="8448" width="10" customWidth="1"/>
    <col min="8449" max="8449" width="8.88671875" customWidth="1"/>
    <col min="8450" max="8450" width="9.5546875" customWidth="1"/>
    <col min="8451" max="8451" width="9.33203125" customWidth="1"/>
    <col min="8452" max="8452" width="8.6640625" customWidth="1"/>
    <col min="8453" max="8453" width="10.44140625" customWidth="1"/>
    <col min="8700" max="8700" width="10" customWidth="1"/>
    <col min="8701" max="8701" width="29.88671875" customWidth="1"/>
    <col min="8702" max="8702" width="40.6640625" customWidth="1"/>
    <col min="8703" max="8703" width="13.44140625" customWidth="1"/>
    <col min="8704" max="8704" width="10" customWidth="1"/>
    <col min="8705" max="8705" width="8.88671875" customWidth="1"/>
    <col min="8706" max="8706" width="9.5546875" customWidth="1"/>
    <col min="8707" max="8707" width="9.33203125" customWidth="1"/>
    <col min="8708" max="8708" width="8.6640625" customWidth="1"/>
    <col min="8709" max="8709" width="10.44140625" customWidth="1"/>
    <col min="8956" max="8956" width="10" customWidth="1"/>
    <col min="8957" max="8957" width="29.88671875" customWidth="1"/>
    <col min="8958" max="8958" width="40.6640625" customWidth="1"/>
    <col min="8959" max="8959" width="13.44140625" customWidth="1"/>
    <col min="8960" max="8960" width="10" customWidth="1"/>
    <col min="8961" max="8961" width="8.88671875" customWidth="1"/>
    <col min="8962" max="8962" width="9.5546875" customWidth="1"/>
    <col min="8963" max="8963" width="9.33203125" customWidth="1"/>
    <col min="8964" max="8964" width="8.6640625" customWidth="1"/>
    <col min="8965" max="8965" width="10.44140625" customWidth="1"/>
    <col min="9212" max="9212" width="10" customWidth="1"/>
    <col min="9213" max="9213" width="29.88671875" customWidth="1"/>
    <col min="9214" max="9214" width="40.6640625" customWidth="1"/>
    <col min="9215" max="9215" width="13.44140625" customWidth="1"/>
    <col min="9216" max="9216" width="10" customWidth="1"/>
    <col min="9217" max="9217" width="8.88671875" customWidth="1"/>
    <col min="9218" max="9218" width="9.5546875" customWidth="1"/>
    <col min="9219" max="9219" width="9.33203125" customWidth="1"/>
    <col min="9220" max="9220" width="8.6640625" customWidth="1"/>
    <col min="9221" max="9221" width="10.44140625" customWidth="1"/>
    <col min="9468" max="9468" width="10" customWidth="1"/>
    <col min="9469" max="9469" width="29.88671875" customWidth="1"/>
    <col min="9470" max="9470" width="40.6640625" customWidth="1"/>
    <col min="9471" max="9471" width="13.44140625" customWidth="1"/>
    <col min="9472" max="9472" width="10" customWidth="1"/>
    <col min="9473" max="9473" width="8.88671875" customWidth="1"/>
    <col min="9474" max="9474" width="9.5546875" customWidth="1"/>
    <col min="9475" max="9475" width="9.33203125" customWidth="1"/>
    <col min="9476" max="9476" width="8.6640625" customWidth="1"/>
    <col min="9477" max="9477" width="10.44140625" customWidth="1"/>
    <col min="9724" max="9724" width="10" customWidth="1"/>
    <col min="9725" max="9725" width="29.88671875" customWidth="1"/>
    <col min="9726" max="9726" width="40.6640625" customWidth="1"/>
    <col min="9727" max="9727" width="13.44140625" customWidth="1"/>
    <col min="9728" max="9728" width="10" customWidth="1"/>
    <col min="9729" max="9729" width="8.88671875" customWidth="1"/>
    <col min="9730" max="9730" width="9.5546875" customWidth="1"/>
    <col min="9731" max="9731" width="9.33203125" customWidth="1"/>
    <col min="9732" max="9732" width="8.6640625" customWidth="1"/>
    <col min="9733" max="9733" width="10.44140625" customWidth="1"/>
    <col min="9980" max="9980" width="10" customWidth="1"/>
    <col min="9981" max="9981" width="29.88671875" customWidth="1"/>
    <col min="9982" max="9982" width="40.6640625" customWidth="1"/>
    <col min="9983" max="9983" width="13.44140625" customWidth="1"/>
    <col min="9984" max="9984" width="10" customWidth="1"/>
    <col min="9985" max="9985" width="8.88671875" customWidth="1"/>
    <col min="9986" max="9986" width="9.5546875" customWidth="1"/>
    <col min="9987" max="9987" width="9.33203125" customWidth="1"/>
    <col min="9988" max="9988" width="8.6640625" customWidth="1"/>
    <col min="9989" max="9989" width="10.44140625" customWidth="1"/>
    <col min="10236" max="10236" width="10" customWidth="1"/>
    <col min="10237" max="10237" width="29.88671875" customWidth="1"/>
    <col min="10238" max="10238" width="40.6640625" customWidth="1"/>
    <col min="10239" max="10239" width="13.44140625" customWidth="1"/>
    <col min="10240" max="10240" width="10" customWidth="1"/>
    <col min="10241" max="10241" width="8.88671875" customWidth="1"/>
    <col min="10242" max="10242" width="9.5546875" customWidth="1"/>
    <col min="10243" max="10243" width="9.33203125" customWidth="1"/>
    <col min="10244" max="10244" width="8.6640625" customWidth="1"/>
    <col min="10245" max="10245" width="10.44140625" customWidth="1"/>
    <col min="10492" max="10492" width="10" customWidth="1"/>
    <col min="10493" max="10493" width="29.88671875" customWidth="1"/>
    <col min="10494" max="10494" width="40.6640625" customWidth="1"/>
    <col min="10495" max="10495" width="13.44140625" customWidth="1"/>
    <col min="10496" max="10496" width="10" customWidth="1"/>
    <col min="10497" max="10497" width="8.88671875" customWidth="1"/>
    <col min="10498" max="10498" width="9.5546875" customWidth="1"/>
    <col min="10499" max="10499" width="9.33203125" customWidth="1"/>
    <col min="10500" max="10500" width="8.6640625" customWidth="1"/>
    <col min="10501" max="10501" width="10.44140625" customWidth="1"/>
    <col min="10748" max="10748" width="10" customWidth="1"/>
    <col min="10749" max="10749" width="29.88671875" customWidth="1"/>
    <col min="10750" max="10750" width="40.6640625" customWidth="1"/>
    <col min="10751" max="10751" width="13.44140625" customWidth="1"/>
    <col min="10752" max="10752" width="10" customWidth="1"/>
    <col min="10753" max="10753" width="8.88671875" customWidth="1"/>
    <col min="10754" max="10754" width="9.5546875" customWidth="1"/>
    <col min="10755" max="10755" width="9.33203125" customWidth="1"/>
    <col min="10756" max="10756" width="8.6640625" customWidth="1"/>
    <col min="10757" max="10757" width="10.44140625" customWidth="1"/>
    <col min="11004" max="11004" width="10" customWidth="1"/>
    <col min="11005" max="11005" width="29.88671875" customWidth="1"/>
    <col min="11006" max="11006" width="40.6640625" customWidth="1"/>
    <col min="11007" max="11007" width="13.44140625" customWidth="1"/>
    <col min="11008" max="11008" width="10" customWidth="1"/>
    <col min="11009" max="11009" width="8.88671875" customWidth="1"/>
    <col min="11010" max="11010" width="9.5546875" customWidth="1"/>
    <col min="11011" max="11011" width="9.33203125" customWidth="1"/>
    <col min="11012" max="11012" width="8.6640625" customWidth="1"/>
    <col min="11013" max="11013" width="10.44140625" customWidth="1"/>
    <col min="11260" max="11260" width="10" customWidth="1"/>
    <col min="11261" max="11261" width="29.88671875" customWidth="1"/>
    <col min="11262" max="11262" width="40.6640625" customWidth="1"/>
    <col min="11263" max="11263" width="13.44140625" customWidth="1"/>
    <col min="11264" max="11264" width="10" customWidth="1"/>
    <col min="11265" max="11265" width="8.88671875" customWidth="1"/>
    <col min="11266" max="11266" width="9.5546875" customWidth="1"/>
    <col min="11267" max="11267" width="9.33203125" customWidth="1"/>
    <col min="11268" max="11268" width="8.6640625" customWidth="1"/>
    <col min="11269" max="11269" width="10.44140625" customWidth="1"/>
    <col min="11516" max="11516" width="10" customWidth="1"/>
    <col min="11517" max="11517" width="29.88671875" customWidth="1"/>
    <col min="11518" max="11518" width="40.6640625" customWidth="1"/>
    <col min="11519" max="11519" width="13.44140625" customWidth="1"/>
    <col min="11520" max="11520" width="10" customWidth="1"/>
    <col min="11521" max="11521" width="8.88671875" customWidth="1"/>
    <col min="11522" max="11522" width="9.5546875" customWidth="1"/>
    <col min="11523" max="11523" width="9.33203125" customWidth="1"/>
    <col min="11524" max="11524" width="8.6640625" customWidth="1"/>
    <col min="11525" max="11525" width="10.44140625" customWidth="1"/>
    <col min="11772" max="11772" width="10" customWidth="1"/>
    <col min="11773" max="11773" width="29.88671875" customWidth="1"/>
    <col min="11774" max="11774" width="40.6640625" customWidth="1"/>
    <col min="11775" max="11775" width="13.44140625" customWidth="1"/>
    <col min="11776" max="11776" width="10" customWidth="1"/>
    <col min="11777" max="11777" width="8.88671875" customWidth="1"/>
    <col min="11778" max="11778" width="9.5546875" customWidth="1"/>
    <col min="11779" max="11779" width="9.33203125" customWidth="1"/>
    <col min="11780" max="11780" width="8.6640625" customWidth="1"/>
    <col min="11781" max="11781" width="10.44140625" customWidth="1"/>
    <col min="12028" max="12028" width="10" customWidth="1"/>
    <col min="12029" max="12029" width="29.88671875" customWidth="1"/>
    <col min="12030" max="12030" width="40.6640625" customWidth="1"/>
    <col min="12031" max="12031" width="13.44140625" customWidth="1"/>
    <col min="12032" max="12032" width="10" customWidth="1"/>
    <col min="12033" max="12033" width="8.88671875" customWidth="1"/>
    <col min="12034" max="12034" width="9.5546875" customWidth="1"/>
    <col min="12035" max="12035" width="9.33203125" customWidth="1"/>
    <col min="12036" max="12036" width="8.6640625" customWidth="1"/>
    <col min="12037" max="12037" width="10.44140625" customWidth="1"/>
    <col min="12284" max="12284" width="10" customWidth="1"/>
    <col min="12285" max="12285" width="29.88671875" customWidth="1"/>
    <col min="12286" max="12286" width="40.6640625" customWidth="1"/>
    <col min="12287" max="12287" width="13.44140625" customWidth="1"/>
    <col min="12288" max="12288" width="10" customWidth="1"/>
    <col min="12289" max="12289" width="8.88671875" customWidth="1"/>
    <col min="12290" max="12290" width="9.5546875" customWidth="1"/>
    <col min="12291" max="12291" width="9.33203125" customWidth="1"/>
    <col min="12292" max="12292" width="8.6640625" customWidth="1"/>
    <col min="12293" max="12293" width="10.44140625" customWidth="1"/>
    <col min="12540" max="12540" width="10" customWidth="1"/>
    <col min="12541" max="12541" width="29.88671875" customWidth="1"/>
    <col min="12542" max="12542" width="40.6640625" customWidth="1"/>
    <col min="12543" max="12543" width="13.44140625" customWidth="1"/>
    <col min="12544" max="12544" width="10" customWidth="1"/>
    <col min="12545" max="12545" width="8.88671875" customWidth="1"/>
    <col min="12546" max="12546" width="9.5546875" customWidth="1"/>
    <col min="12547" max="12547" width="9.33203125" customWidth="1"/>
    <col min="12548" max="12548" width="8.6640625" customWidth="1"/>
    <col min="12549" max="12549" width="10.44140625" customWidth="1"/>
    <col min="12796" max="12796" width="10" customWidth="1"/>
    <col min="12797" max="12797" width="29.88671875" customWidth="1"/>
    <col min="12798" max="12798" width="40.6640625" customWidth="1"/>
    <col min="12799" max="12799" width="13.44140625" customWidth="1"/>
    <col min="12800" max="12800" width="10" customWidth="1"/>
    <col min="12801" max="12801" width="8.88671875" customWidth="1"/>
    <col min="12802" max="12802" width="9.5546875" customWidth="1"/>
    <col min="12803" max="12803" width="9.33203125" customWidth="1"/>
    <col min="12804" max="12804" width="8.6640625" customWidth="1"/>
    <col min="12805" max="12805" width="10.44140625" customWidth="1"/>
    <col min="13052" max="13052" width="10" customWidth="1"/>
    <col min="13053" max="13053" width="29.88671875" customWidth="1"/>
    <col min="13054" max="13054" width="40.6640625" customWidth="1"/>
    <col min="13055" max="13055" width="13.44140625" customWidth="1"/>
    <col min="13056" max="13056" width="10" customWidth="1"/>
    <col min="13057" max="13057" width="8.88671875" customWidth="1"/>
    <col min="13058" max="13058" width="9.5546875" customWidth="1"/>
    <col min="13059" max="13059" width="9.33203125" customWidth="1"/>
    <col min="13060" max="13060" width="8.6640625" customWidth="1"/>
    <col min="13061" max="13061" width="10.44140625" customWidth="1"/>
    <col min="13308" max="13308" width="10" customWidth="1"/>
    <col min="13309" max="13309" width="29.88671875" customWidth="1"/>
    <col min="13310" max="13310" width="40.6640625" customWidth="1"/>
    <col min="13311" max="13311" width="13.44140625" customWidth="1"/>
    <col min="13312" max="13312" width="10" customWidth="1"/>
    <col min="13313" max="13313" width="8.88671875" customWidth="1"/>
    <col min="13314" max="13314" width="9.5546875" customWidth="1"/>
    <col min="13315" max="13315" width="9.33203125" customWidth="1"/>
    <col min="13316" max="13316" width="8.6640625" customWidth="1"/>
    <col min="13317" max="13317" width="10.44140625" customWidth="1"/>
    <col min="13564" max="13564" width="10" customWidth="1"/>
    <col min="13565" max="13565" width="29.88671875" customWidth="1"/>
    <col min="13566" max="13566" width="40.6640625" customWidth="1"/>
    <col min="13567" max="13567" width="13.44140625" customWidth="1"/>
    <col min="13568" max="13568" width="10" customWidth="1"/>
    <col min="13569" max="13569" width="8.88671875" customWidth="1"/>
    <col min="13570" max="13570" width="9.5546875" customWidth="1"/>
    <col min="13571" max="13571" width="9.33203125" customWidth="1"/>
    <col min="13572" max="13572" width="8.6640625" customWidth="1"/>
    <col min="13573" max="13573" width="10.44140625" customWidth="1"/>
    <col min="13820" max="13820" width="10" customWidth="1"/>
    <col min="13821" max="13821" width="29.88671875" customWidth="1"/>
    <col min="13822" max="13822" width="40.6640625" customWidth="1"/>
    <col min="13823" max="13823" width="13.44140625" customWidth="1"/>
    <col min="13824" max="13824" width="10" customWidth="1"/>
    <col min="13825" max="13825" width="8.88671875" customWidth="1"/>
    <col min="13826" max="13826" width="9.5546875" customWidth="1"/>
    <col min="13827" max="13827" width="9.33203125" customWidth="1"/>
    <col min="13828" max="13828" width="8.6640625" customWidth="1"/>
    <col min="13829" max="13829" width="10.44140625" customWidth="1"/>
    <col min="14076" max="14076" width="10" customWidth="1"/>
    <col min="14077" max="14077" width="29.88671875" customWidth="1"/>
    <col min="14078" max="14078" width="40.6640625" customWidth="1"/>
    <col min="14079" max="14079" width="13.44140625" customWidth="1"/>
    <col min="14080" max="14080" width="10" customWidth="1"/>
    <col min="14081" max="14081" width="8.88671875" customWidth="1"/>
    <col min="14082" max="14082" width="9.5546875" customWidth="1"/>
    <col min="14083" max="14083" width="9.33203125" customWidth="1"/>
    <col min="14084" max="14084" width="8.6640625" customWidth="1"/>
    <col min="14085" max="14085" width="10.44140625" customWidth="1"/>
    <col min="14332" max="14332" width="10" customWidth="1"/>
    <col min="14333" max="14333" width="29.88671875" customWidth="1"/>
    <col min="14334" max="14334" width="40.6640625" customWidth="1"/>
    <col min="14335" max="14335" width="13.44140625" customWidth="1"/>
    <col min="14336" max="14336" width="10" customWidth="1"/>
    <col min="14337" max="14337" width="8.88671875" customWidth="1"/>
    <col min="14338" max="14338" width="9.5546875" customWidth="1"/>
    <col min="14339" max="14339" width="9.33203125" customWidth="1"/>
    <col min="14340" max="14340" width="8.6640625" customWidth="1"/>
    <col min="14341" max="14341" width="10.44140625" customWidth="1"/>
    <col min="14588" max="14588" width="10" customWidth="1"/>
    <col min="14589" max="14589" width="29.88671875" customWidth="1"/>
    <col min="14590" max="14590" width="40.6640625" customWidth="1"/>
    <col min="14591" max="14591" width="13.44140625" customWidth="1"/>
    <col min="14592" max="14592" width="10" customWidth="1"/>
    <col min="14593" max="14593" width="8.88671875" customWidth="1"/>
    <col min="14594" max="14594" width="9.5546875" customWidth="1"/>
    <col min="14595" max="14595" width="9.33203125" customWidth="1"/>
    <col min="14596" max="14596" width="8.6640625" customWidth="1"/>
    <col min="14597" max="14597" width="10.44140625" customWidth="1"/>
    <col min="14844" max="14844" width="10" customWidth="1"/>
    <col min="14845" max="14845" width="29.88671875" customWidth="1"/>
    <col min="14846" max="14846" width="40.6640625" customWidth="1"/>
    <col min="14847" max="14847" width="13.44140625" customWidth="1"/>
    <col min="14848" max="14848" width="10" customWidth="1"/>
    <col min="14849" max="14849" width="8.88671875" customWidth="1"/>
    <col min="14850" max="14850" width="9.5546875" customWidth="1"/>
    <col min="14851" max="14851" width="9.33203125" customWidth="1"/>
    <col min="14852" max="14852" width="8.6640625" customWidth="1"/>
    <col min="14853" max="14853" width="10.44140625" customWidth="1"/>
    <col min="15100" max="15100" width="10" customWidth="1"/>
    <col min="15101" max="15101" width="29.88671875" customWidth="1"/>
    <col min="15102" max="15102" width="40.6640625" customWidth="1"/>
    <col min="15103" max="15103" width="13.44140625" customWidth="1"/>
    <col min="15104" max="15104" width="10" customWidth="1"/>
    <col min="15105" max="15105" width="8.88671875" customWidth="1"/>
    <col min="15106" max="15106" width="9.5546875" customWidth="1"/>
    <col min="15107" max="15107" width="9.33203125" customWidth="1"/>
    <col min="15108" max="15108" width="8.6640625" customWidth="1"/>
    <col min="15109" max="15109" width="10.44140625" customWidth="1"/>
    <col min="15356" max="15356" width="10" customWidth="1"/>
    <col min="15357" max="15357" width="29.88671875" customWidth="1"/>
    <col min="15358" max="15358" width="40.6640625" customWidth="1"/>
    <col min="15359" max="15359" width="13.44140625" customWidth="1"/>
    <col min="15360" max="15360" width="10" customWidth="1"/>
    <col min="15361" max="15361" width="8.88671875" customWidth="1"/>
    <col min="15362" max="15362" width="9.5546875" customWidth="1"/>
    <col min="15363" max="15363" width="9.33203125" customWidth="1"/>
    <col min="15364" max="15364" width="8.6640625" customWidth="1"/>
    <col min="15365" max="15365" width="10.44140625" customWidth="1"/>
    <col min="15612" max="15612" width="10" customWidth="1"/>
    <col min="15613" max="15613" width="29.88671875" customWidth="1"/>
    <col min="15614" max="15614" width="40.6640625" customWidth="1"/>
    <col min="15615" max="15615" width="13.44140625" customWidth="1"/>
    <col min="15616" max="15616" width="10" customWidth="1"/>
    <col min="15617" max="15617" width="8.88671875" customWidth="1"/>
    <col min="15618" max="15618" width="9.5546875" customWidth="1"/>
    <col min="15619" max="15619" width="9.33203125" customWidth="1"/>
    <col min="15620" max="15620" width="8.6640625" customWidth="1"/>
    <col min="15621" max="15621" width="10.44140625" customWidth="1"/>
    <col min="15868" max="15868" width="10" customWidth="1"/>
    <col min="15869" max="15869" width="29.88671875" customWidth="1"/>
    <col min="15870" max="15870" width="40.6640625" customWidth="1"/>
    <col min="15871" max="15871" width="13.44140625" customWidth="1"/>
    <col min="15872" max="15872" width="10" customWidth="1"/>
    <col min="15873" max="15873" width="8.88671875" customWidth="1"/>
    <col min="15874" max="15874" width="9.5546875" customWidth="1"/>
    <col min="15875" max="15875" width="9.33203125" customWidth="1"/>
    <col min="15876" max="15876" width="8.6640625" customWidth="1"/>
    <col min="15877" max="15877" width="10.44140625" customWidth="1"/>
    <col min="16124" max="16124" width="10" customWidth="1"/>
    <col min="16125" max="16125" width="29.88671875" customWidth="1"/>
    <col min="16126" max="16126" width="40.6640625" customWidth="1"/>
    <col min="16127" max="16127" width="13.44140625" customWidth="1"/>
    <col min="16128" max="16128" width="10" customWidth="1"/>
    <col min="16129" max="16129" width="8.88671875" customWidth="1"/>
    <col min="16130" max="16130" width="9.5546875" customWidth="1"/>
    <col min="16131" max="16131" width="9.33203125" customWidth="1"/>
    <col min="16132" max="16132" width="8.6640625" customWidth="1"/>
    <col min="16133" max="16133" width="10.44140625" customWidth="1"/>
  </cols>
  <sheetData>
    <row r="1" spans="1:11" ht="20.399999999999999">
      <c r="A1" s="390" t="s">
        <v>0</v>
      </c>
      <c r="B1" s="390"/>
      <c r="C1" s="390"/>
      <c r="D1" s="390"/>
    </row>
    <row r="2" spans="1:11" ht="50.1" customHeight="1">
      <c r="A2" s="1" t="s">
        <v>1</v>
      </c>
      <c r="B2" s="1" t="s">
        <v>2</v>
      </c>
      <c r="C2" s="1" t="s">
        <v>3</v>
      </c>
      <c r="D2" s="1" t="s">
        <v>4</v>
      </c>
      <c r="F2" s="2" t="s">
        <v>296</v>
      </c>
      <c r="G2" s="3" t="s">
        <v>5</v>
      </c>
      <c r="H2" s="3" t="s">
        <v>6</v>
      </c>
      <c r="I2" s="3" t="s">
        <v>7</v>
      </c>
      <c r="J2" s="3" t="s">
        <v>8</v>
      </c>
      <c r="K2" s="4" t="s">
        <v>9</v>
      </c>
    </row>
    <row r="3" spans="1:11" ht="14.25" customHeight="1">
      <c r="A3" s="5">
        <v>4893668</v>
      </c>
      <c r="B3" s="5" t="s">
        <v>10</v>
      </c>
      <c r="C3" s="5" t="s">
        <v>11</v>
      </c>
      <c r="D3" s="6">
        <v>20602050</v>
      </c>
      <c r="F3" s="7"/>
      <c r="G3" s="7"/>
      <c r="H3" s="7"/>
      <c r="I3" s="7"/>
      <c r="J3" s="7" t="s">
        <v>12</v>
      </c>
      <c r="K3" s="8"/>
    </row>
    <row r="4" spans="1:11" ht="12" customHeight="1">
      <c r="A4" s="9">
        <v>9782011</v>
      </c>
      <c r="B4" s="9" t="s">
        <v>13</v>
      </c>
      <c r="C4" s="9" t="s">
        <v>14</v>
      </c>
      <c r="D4" s="5" t="s">
        <v>15</v>
      </c>
      <c r="E4" s="10" t="s">
        <v>16</v>
      </c>
      <c r="F4" s="7"/>
      <c r="G4" s="7"/>
      <c r="H4" s="7"/>
      <c r="I4" s="7"/>
      <c r="J4" s="7" t="s">
        <v>17</v>
      </c>
      <c r="K4" s="8"/>
    </row>
    <row r="5" spans="1:11" ht="12.75" customHeight="1">
      <c r="A5" s="5">
        <v>3478726</v>
      </c>
      <c r="B5" s="5" t="s">
        <v>18</v>
      </c>
      <c r="C5" s="5" t="s">
        <v>19</v>
      </c>
      <c r="D5" s="5" t="s">
        <v>20</v>
      </c>
      <c r="E5" s="11" t="s">
        <v>21</v>
      </c>
      <c r="F5" s="7" t="s">
        <v>22</v>
      </c>
      <c r="G5" s="7"/>
      <c r="H5" s="7" t="s">
        <v>22</v>
      </c>
      <c r="I5" s="7"/>
      <c r="J5" s="7"/>
      <c r="K5" s="12"/>
    </row>
    <row r="6" spans="1:11" s="54" customFormat="1" ht="28.5" customHeight="1">
      <c r="A6" s="52">
        <v>7790536</v>
      </c>
      <c r="B6" s="52" t="s">
        <v>23</v>
      </c>
      <c r="C6" s="52" t="s">
        <v>24</v>
      </c>
      <c r="D6" s="53" t="s">
        <v>25</v>
      </c>
      <c r="F6" s="55" t="s">
        <v>26</v>
      </c>
      <c r="G6" s="55" t="s">
        <v>27</v>
      </c>
      <c r="H6" s="56" t="s">
        <v>28</v>
      </c>
      <c r="I6" s="57" t="s">
        <v>29</v>
      </c>
      <c r="J6" s="57" t="s">
        <v>30</v>
      </c>
      <c r="K6" s="58"/>
    </row>
    <row r="7" spans="1:11" s="54" customFormat="1" ht="24.75" customHeight="1">
      <c r="A7" s="52">
        <v>7790964</v>
      </c>
      <c r="B7" s="52" t="s">
        <v>23</v>
      </c>
      <c r="C7" s="52" t="s">
        <v>31</v>
      </c>
      <c r="D7" s="53" t="s">
        <v>25</v>
      </c>
      <c r="F7" s="55" t="s">
        <v>26</v>
      </c>
      <c r="G7" s="55" t="s">
        <v>27</v>
      </c>
      <c r="H7" s="56" t="s">
        <v>28</v>
      </c>
      <c r="I7" s="57" t="s">
        <v>29</v>
      </c>
      <c r="J7" s="57" t="s">
        <v>30</v>
      </c>
      <c r="K7" s="58"/>
    </row>
    <row r="8" spans="1:11" s="54" customFormat="1" ht="23.25" customHeight="1">
      <c r="A8" s="52">
        <v>7791091</v>
      </c>
      <c r="B8" s="52" t="s">
        <v>23</v>
      </c>
      <c r="C8" s="52" t="s">
        <v>32</v>
      </c>
      <c r="D8" s="53" t="s">
        <v>25</v>
      </c>
      <c r="F8" s="55" t="s">
        <v>26</v>
      </c>
      <c r="G8" s="55" t="s">
        <v>27</v>
      </c>
      <c r="H8" s="56" t="s">
        <v>28</v>
      </c>
      <c r="I8" s="57" t="s">
        <v>29</v>
      </c>
      <c r="J8" s="57" t="s">
        <v>30</v>
      </c>
      <c r="K8" s="58"/>
    </row>
    <row r="9" spans="1:11" s="54" customFormat="1" ht="22.5" customHeight="1">
      <c r="A9" s="52">
        <v>8546215</v>
      </c>
      <c r="B9" s="52" t="s">
        <v>23</v>
      </c>
      <c r="C9" s="52" t="s">
        <v>33</v>
      </c>
      <c r="D9" s="53" t="s">
        <v>25</v>
      </c>
      <c r="F9" s="55" t="s">
        <v>26</v>
      </c>
      <c r="G9" s="55" t="s">
        <v>27</v>
      </c>
      <c r="H9" s="56" t="s">
        <v>28</v>
      </c>
      <c r="I9" s="57" t="s">
        <v>29</v>
      </c>
      <c r="J9" s="57" t="s">
        <v>30</v>
      </c>
      <c r="K9" s="58"/>
    </row>
    <row r="10" spans="1:11" s="54" customFormat="1" ht="22.5" customHeight="1">
      <c r="A10" s="52">
        <v>9125752</v>
      </c>
      <c r="B10" s="52" t="s">
        <v>23</v>
      </c>
      <c r="C10" s="52" t="s">
        <v>31</v>
      </c>
      <c r="D10" s="53" t="s">
        <v>25</v>
      </c>
      <c r="F10" s="55" t="s">
        <v>26</v>
      </c>
      <c r="G10" s="55" t="s">
        <v>27</v>
      </c>
      <c r="H10" s="56" t="s">
        <v>28</v>
      </c>
      <c r="I10" s="57" t="s">
        <v>29</v>
      </c>
      <c r="J10" s="57" t="s">
        <v>30</v>
      </c>
      <c r="K10" s="58"/>
    </row>
    <row r="11" spans="1:11" s="54" customFormat="1" ht="23.25" customHeight="1">
      <c r="A11" s="52">
        <v>9125796</v>
      </c>
      <c r="B11" s="52" t="s">
        <v>34</v>
      </c>
      <c r="C11" s="52" t="s">
        <v>33</v>
      </c>
      <c r="D11" s="53" t="s">
        <v>25</v>
      </c>
      <c r="F11" s="55" t="s">
        <v>26</v>
      </c>
      <c r="G11" s="55" t="s">
        <v>27</v>
      </c>
      <c r="H11" s="56" t="s">
        <v>28</v>
      </c>
      <c r="I11" s="57" t="s">
        <v>29</v>
      </c>
      <c r="J11" s="57" t="s">
        <v>30</v>
      </c>
      <c r="K11" s="58"/>
    </row>
    <row r="12" spans="1:11" s="54" customFormat="1" ht="23.25" customHeight="1">
      <c r="A12" s="52">
        <v>763679</v>
      </c>
      <c r="B12" s="52" t="s">
        <v>35</v>
      </c>
      <c r="C12" s="52" t="s">
        <v>36</v>
      </c>
      <c r="D12" s="53" t="s">
        <v>25</v>
      </c>
      <c r="F12" s="55" t="s">
        <v>26</v>
      </c>
      <c r="G12" s="55" t="s">
        <v>27</v>
      </c>
      <c r="H12" s="56" t="s">
        <v>28</v>
      </c>
      <c r="I12" s="57" t="s">
        <v>29</v>
      </c>
      <c r="J12" s="57" t="s">
        <v>30</v>
      </c>
      <c r="K12" s="58"/>
    </row>
    <row r="13" spans="1:11" s="54" customFormat="1" ht="24" customHeight="1">
      <c r="A13" s="52">
        <v>1452812</v>
      </c>
      <c r="B13" s="52" t="s">
        <v>37</v>
      </c>
      <c r="C13" s="52" t="s">
        <v>32</v>
      </c>
      <c r="D13" s="53" t="s">
        <v>25</v>
      </c>
      <c r="F13" s="55" t="s">
        <v>26</v>
      </c>
      <c r="G13" s="55" t="s">
        <v>27</v>
      </c>
      <c r="H13" s="56" t="s">
        <v>28</v>
      </c>
      <c r="I13" s="57" t="s">
        <v>29</v>
      </c>
      <c r="J13" s="57" t="s">
        <v>30</v>
      </c>
      <c r="K13" s="58"/>
    </row>
    <row r="14" spans="1:11" s="54" customFormat="1" ht="24" customHeight="1">
      <c r="A14" s="52">
        <v>1453033</v>
      </c>
      <c r="B14" s="52" t="s">
        <v>35</v>
      </c>
      <c r="C14" s="52" t="s">
        <v>38</v>
      </c>
      <c r="D14" s="53" t="s">
        <v>25</v>
      </c>
      <c r="F14" s="55" t="s">
        <v>26</v>
      </c>
      <c r="G14" s="55" t="s">
        <v>27</v>
      </c>
      <c r="H14" s="56" t="s">
        <v>28</v>
      </c>
      <c r="I14" s="57" t="s">
        <v>29</v>
      </c>
      <c r="J14" s="57" t="s">
        <v>30</v>
      </c>
      <c r="K14" s="58"/>
    </row>
    <row r="15" spans="1:11" s="54" customFormat="1" ht="24" customHeight="1">
      <c r="A15" s="52">
        <v>1453035</v>
      </c>
      <c r="B15" s="52" t="s">
        <v>39</v>
      </c>
      <c r="C15" s="52" t="s">
        <v>24</v>
      </c>
      <c r="D15" s="53" t="s">
        <v>25</v>
      </c>
      <c r="F15" s="55" t="s">
        <v>26</v>
      </c>
      <c r="G15" s="55" t="s">
        <v>27</v>
      </c>
      <c r="H15" s="56" t="s">
        <v>28</v>
      </c>
      <c r="I15" s="57" t="s">
        <v>29</v>
      </c>
      <c r="J15" s="57" t="s">
        <v>30</v>
      </c>
      <c r="K15" s="58"/>
    </row>
    <row r="16" spans="1:11" s="54" customFormat="1" ht="23.25" customHeight="1">
      <c r="A16" s="52">
        <v>1453086</v>
      </c>
      <c r="B16" s="52" t="s">
        <v>35</v>
      </c>
      <c r="C16" s="52" t="s">
        <v>40</v>
      </c>
      <c r="D16" s="53" t="s">
        <v>25</v>
      </c>
      <c r="F16" s="55" t="s">
        <v>26</v>
      </c>
      <c r="G16" s="55" t="s">
        <v>27</v>
      </c>
      <c r="H16" s="56" t="s">
        <v>28</v>
      </c>
      <c r="I16" s="57" t="s">
        <v>29</v>
      </c>
      <c r="J16" s="57" t="s">
        <v>30</v>
      </c>
      <c r="K16" s="58"/>
    </row>
    <row r="17" spans="1:11" s="54" customFormat="1" ht="24.75" customHeight="1">
      <c r="A17" s="52">
        <v>1453100</v>
      </c>
      <c r="B17" s="63" t="s">
        <v>41</v>
      </c>
      <c r="C17" s="52" t="s">
        <v>42</v>
      </c>
      <c r="D17" s="53" t="s">
        <v>25</v>
      </c>
      <c r="F17" s="55" t="s">
        <v>26</v>
      </c>
      <c r="G17" s="55" t="s">
        <v>27</v>
      </c>
      <c r="H17" s="56" t="s">
        <v>28</v>
      </c>
      <c r="I17" s="57" t="s">
        <v>29</v>
      </c>
      <c r="J17" s="57" t="s">
        <v>30</v>
      </c>
      <c r="K17" s="58"/>
    </row>
    <row r="18" spans="1:11" s="54" customFormat="1" ht="24" customHeight="1">
      <c r="A18" s="52">
        <v>7625494</v>
      </c>
      <c r="B18" s="52" t="s">
        <v>35</v>
      </c>
      <c r="C18" s="52" t="s">
        <v>40</v>
      </c>
      <c r="D18" s="53" t="s">
        <v>25</v>
      </c>
      <c r="F18" s="55" t="s">
        <v>26</v>
      </c>
      <c r="G18" s="55" t="s">
        <v>27</v>
      </c>
      <c r="H18" s="56" t="s">
        <v>28</v>
      </c>
      <c r="I18" s="57" t="s">
        <v>29</v>
      </c>
      <c r="J18" s="57" t="s">
        <v>30</v>
      </c>
      <c r="K18" s="58"/>
    </row>
    <row r="19" spans="1:11" s="54" customFormat="1" ht="24" customHeight="1">
      <c r="A19" s="52">
        <v>763679</v>
      </c>
      <c r="B19" s="52" t="s">
        <v>43</v>
      </c>
      <c r="C19" s="52" t="s">
        <v>36</v>
      </c>
      <c r="D19" s="53" t="s">
        <v>25</v>
      </c>
      <c r="F19" s="55" t="s">
        <v>26</v>
      </c>
      <c r="G19" s="55" t="s">
        <v>27</v>
      </c>
      <c r="H19" s="56" t="s">
        <v>28</v>
      </c>
      <c r="I19" s="57" t="s">
        <v>29</v>
      </c>
      <c r="J19" s="57" t="s">
        <v>30</v>
      </c>
      <c r="K19" s="58"/>
    </row>
    <row r="20" spans="1:11" s="54" customFormat="1" ht="23.25" customHeight="1">
      <c r="A20" s="52">
        <v>9123710</v>
      </c>
      <c r="B20" s="52" t="s">
        <v>44</v>
      </c>
      <c r="C20" s="52" t="s">
        <v>24</v>
      </c>
      <c r="D20" s="53" t="s">
        <v>25</v>
      </c>
      <c r="F20" s="55" t="s">
        <v>26</v>
      </c>
      <c r="G20" s="55" t="s">
        <v>27</v>
      </c>
      <c r="H20" s="56" t="s">
        <v>28</v>
      </c>
      <c r="I20" s="57" t="s">
        <v>29</v>
      </c>
      <c r="J20" s="57" t="s">
        <v>30</v>
      </c>
      <c r="K20" s="58"/>
    </row>
    <row r="21" spans="1:11" s="54" customFormat="1" ht="24" customHeight="1">
      <c r="A21" s="52">
        <v>9125774</v>
      </c>
      <c r="B21" s="52" t="s">
        <v>45</v>
      </c>
      <c r="C21" s="52" t="s">
        <v>42</v>
      </c>
      <c r="D21" s="53" t="s">
        <v>25</v>
      </c>
      <c r="F21" s="55" t="s">
        <v>26</v>
      </c>
      <c r="G21" s="55" t="s">
        <v>27</v>
      </c>
      <c r="H21" s="56" t="s">
        <v>28</v>
      </c>
      <c r="I21" s="57" t="s">
        <v>29</v>
      </c>
      <c r="J21" s="57" t="s">
        <v>30</v>
      </c>
      <c r="K21" s="58"/>
    </row>
    <row r="22" spans="1:11" s="54" customFormat="1" ht="33" customHeight="1">
      <c r="A22" s="52">
        <v>9125857</v>
      </c>
      <c r="B22" s="52" t="s">
        <v>46</v>
      </c>
      <c r="C22" s="52" t="s">
        <v>32</v>
      </c>
      <c r="D22" s="53" t="s">
        <v>25</v>
      </c>
      <c r="F22" s="55" t="s">
        <v>26</v>
      </c>
      <c r="G22" s="55" t="s">
        <v>27</v>
      </c>
      <c r="H22" s="56" t="s">
        <v>28</v>
      </c>
      <c r="I22" s="57" t="s">
        <v>29</v>
      </c>
      <c r="J22" s="57" t="s">
        <v>30</v>
      </c>
      <c r="K22" s="58"/>
    </row>
    <row r="23" spans="1:11" s="70" customFormat="1" ht="21" customHeight="1">
      <c r="A23" s="68">
        <v>1452815</v>
      </c>
      <c r="B23" s="68" t="s">
        <v>47</v>
      </c>
      <c r="C23" s="68" t="s">
        <v>48</v>
      </c>
      <c r="D23" s="69" t="s">
        <v>49</v>
      </c>
      <c r="F23" s="71" t="s">
        <v>50</v>
      </c>
      <c r="G23" s="72" t="s">
        <v>51</v>
      </c>
      <c r="H23" s="73" t="s">
        <v>52</v>
      </c>
      <c r="I23" s="74" t="s">
        <v>53</v>
      </c>
      <c r="J23" s="75" t="s">
        <v>54</v>
      </c>
      <c r="K23" s="76"/>
    </row>
    <row r="24" spans="1:11" s="70" customFormat="1" ht="21" customHeight="1">
      <c r="A24" s="68">
        <v>1453313</v>
      </c>
      <c r="B24" s="68" t="s">
        <v>55</v>
      </c>
      <c r="C24" s="68" t="s">
        <v>56</v>
      </c>
      <c r="D24" s="69" t="s">
        <v>400</v>
      </c>
      <c r="F24" s="77" t="s">
        <v>57</v>
      </c>
      <c r="G24" s="78" t="s">
        <v>58</v>
      </c>
      <c r="H24" s="79" t="s">
        <v>59</v>
      </c>
      <c r="I24" s="74" t="s">
        <v>60</v>
      </c>
      <c r="J24" s="75" t="s">
        <v>61</v>
      </c>
      <c r="K24" s="76"/>
    </row>
    <row r="25" spans="1:11" s="70" customFormat="1" ht="19.5" customHeight="1">
      <c r="A25" s="68">
        <v>2182101</v>
      </c>
      <c r="B25" s="68" t="s">
        <v>62</v>
      </c>
      <c r="C25" s="68" t="s">
        <v>48</v>
      </c>
      <c r="D25" s="69" t="s">
        <v>49</v>
      </c>
      <c r="F25" s="77" t="s">
        <v>63</v>
      </c>
      <c r="G25" s="80" t="s">
        <v>64</v>
      </c>
      <c r="H25" s="79" t="s">
        <v>59</v>
      </c>
      <c r="I25" s="74" t="s">
        <v>53</v>
      </c>
      <c r="J25" s="75" t="s">
        <v>54</v>
      </c>
      <c r="K25" s="76"/>
    </row>
    <row r="26" spans="1:11" s="70" customFormat="1" ht="21.75" customHeight="1">
      <c r="A26" s="68">
        <v>8021208</v>
      </c>
      <c r="B26" s="68" t="s">
        <v>65</v>
      </c>
      <c r="C26" s="68" t="s">
        <v>56</v>
      </c>
      <c r="D26" s="69" t="s">
        <v>49</v>
      </c>
      <c r="F26" s="77" t="s">
        <v>57</v>
      </c>
      <c r="G26" s="78" t="s">
        <v>58</v>
      </c>
      <c r="H26" s="79" t="s">
        <v>59</v>
      </c>
      <c r="I26" s="74" t="s">
        <v>60</v>
      </c>
      <c r="J26" s="75" t="s">
        <v>61</v>
      </c>
      <c r="K26" s="76"/>
    </row>
    <row r="27" spans="1:11" s="54" customFormat="1" ht="28.5" customHeight="1">
      <c r="A27" s="52">
        <v>1453150</v>
      </c>
      <c r="B27" s="52" t="s">
        <v>66</v>
      </c>
      <c r="C27" s="52" t="s">
        <v>67</v>
      </c>
      <c r="D27" s="53" t="s">
        <v>68</v>
      </c>
      <c r="F27" s="55" t="s">
        <v>69</v>
      </c>
      <c r="G27" s="81" t="s">
        <v>70</v>
      </c>
      <c r="H27" s="82" t="s">
        <v>71</v>
      </c>
      <c r="I27" s="83" t="s">
        <v>53</v>
      </c>
      <c r="J27" s="82" t="s">
        <v>72</v>
      </c>
      <c r="K27" s="58"/>
    </row>
    <row r="28" spans="1:11" s="92" customFormat="1" ht="30" customHeight="1">
      <c r="A28" s="84">
        <v>1452958</v>
      </c>
      <c r="B28" s="84" t="s">
        <v>73</v>
      </c>
      <c r="C28" s="84" t="s">
        <v>74</v>
      </c>
      <c r="D28" s="85" t="s">
        <v>75</v>
      </c>
      <c r="E28"/>
      <c r="F28" s="86" t="s">
        <v>76</v>
      </c>
      <c r="G28" s="87" t="s">
        <v>70</v>
      </c>
      <c r="H28" s="88" t="s">
        <v>77</v>
      </c>
      <c r="I28" s="89" t="s">
        <v>78</v>
      </c>
      <c r="J28" s="90" t="s">
        <v>79</v>
      </c>
      <c r="K28" s="91"/>
    </row>
    <row r="29" spans="1:11" s="92" customFormat="1" ht="30" customHeight="1">
      <c r="A29" s="84">
        <v>9926752</v>
      </c>
      <c r="B29" s="84"/>
      <c r="C29" s="84" t="s">
        <v>74</v>
      </c>
      <c r="D29" s="85" t="s">
        <v>75</v>
      </c>
      <c r="E29"/>
      <c r="F29" s="86" t="s">
        <v>76</v>
      </c>
      <c r="G29" s="87" t="s">
        <v>70</v>
      </c>
      <c r="H29" s="88" t="s">
        <v>77</v>
      </c>
      <c r="I29" s="89" t="s">
        <v>78</v>
      </c>
      <c r="J29" s="90" t="s">
        <v>79</v>
      </c>
      <c r="K29" s="91"/>
    </row>
    <row r="30" spans="1:11" s="54" customFormat="1" ht="36" customHeight="1">
      <c r="A30" s="52">
        <v>1452745</v>
      </c>
      <c r="B30" s="52" t="s">
        <v>80</v>
      </c>
      <c r="C30" s="52" t="s">
        <v>81</v>
      </c>
      <c r="D30" s="53" t="s">
        <v>377</v>
      </c>
      <c r="E30"/>
      <c r="F30" s="55" t="s">
        <v>83</v>
      </c>
      <c r="G30" s="81" t="s">
        <v>70</v>
      </c>
      <c r="H30" s="93" t="s">
        <v>84</v>
      </c>
      <c r="I30" s="83" t="s">
        <v>60</v>
      </c>
      <c r="J30" s="81" t="s">
        <v>85</v>
      </c>
      <c r="K30" s="58"/>
    </row>
    <row r="31" spans="1:11" s="54" customFormat="1" ht="40.5" customHeight="1">
      <c r="A31" s="52">
        <v>1452784</v>
      </c>
      <c r="B31" s="52" t="s">
        <v>35</v>
      </c>
      <c r="C31" s="52" t="s">
        <v>86</v>
      </c>
      <c r="D31" s="53" t="s">
        <v>82</v>
      </c>
      <c r="E31"/>
      <c r="F31" s="55" t="s">
        <v>87</v>
      </c>
      <c r="G31" s="81" t="s">
        <v>70</v>
      </c>
      <c r="H31" s="93" t="s">
        <v>88</v>
      </c>
      <c r="I31" s="94" t="s">
        <v>89</v>
      </c>
      <c r="J31" s="95" t="s">
        <v>85</v>
      </c>
      <c r="K31" s="58"/>
    </row>
    <row r="32" spans="1:11" s="92" customFormat="1" ht="18" customHeight="1">
      <c r="A32" s="84">
        <v>1452908</v>
      </c>
      <c r="B32" s="84" t="s">
        <v>35</v>
      </c>
      <c r="C32" s="84" t="s">
        <v>90</v>
      </c>
      <c r="D32" s="85" t="s">
        <v>82</v>
      </c>
      <c r="E32"/>
      <c r="F32" s="87" t="s">
        <v>91</v>
      </c>
      <c r="G32" s="91"/>
      <c r="H32" s="91"/>
      <c r="I32" s="91"/>
      <c r="J32" s="91"/>
      <c r="K32" s="91"/>
    </row>
    <row r="33" spans="1:11" s="92" customFormat="1" ht="24.75" customHeight="1">
      <c r="A33" s="84">
        <v>1452909</v>
      </c>
      <c r="B33" s="84" t="s">
        <v>35</v>
      </c>
      <c r="C33" s="84" t="s">
        <v>92</v>
      </c>
      <c r="D33" s="85" t="s">
        <v>82</v>
      </c>
      <c r="E33"/>
      <c r="F33" s="96" t="s">
        <v>93</v>
      </c>
      <c r="G33" s="91"/>
      <c r="H33" s="91"/>
      <c r="I33" s="91"/>
      <c r="J33" s="91"/>
      <c r="K33" s="91"/>
    </row>
    <row r="34" spans="1:11" s="92" customFormat="1" ht="24.75" customHeight="1">
      <c r="A34" s="84">
        <v>1452910</v>
      </c>
      <c r="B34" s="84" t="s">
        <v>94</v>
      </c>
      <c r="C34" s="84" t="s">
        <v>95</v>
      </c>
      <c r="D34" s="85" t="s">
        <v>82</v>
      </c>
      <c r="E34"/>
      <c r="F34" s="97" t="s">
        <v>96</v>
      </c>
      <c r="G34" s="91"/>
      <c r="H34" s="91"/>
      <c r="I34" s="91"/>
      <c r="J34" s="91"/>
      <c r="K34" s="91"/>
    </row>
    <row r="35" spans="1:11" s="92" customFormat="1" ht="24.75" customHeight="1">
      <c r="A35" s="84">
        <v>1452911</v>
      </c>
      <c r="B35" s="84" t="s">
        <v>35</v>
      </c>
      <c r="C35" s="84" t="s">
        <v>97</v>
      </c>
      <c r="D35" s="85" t="s">
        <v>82</v>
      </c>
      <c r="E35"/>
      <c r="F35" s="98" t="s">
        <v>96</v>
      </c>
      <c r="G35" s="91"/>
      <c r="H35" s="91"/>
      <c r="I35" s="91"/>
      <c r="J35" s="91"/>
      <c r="K35" s="91"/>
    </row>
    <row r="36" spans="1:11" s="106" customFormat="1" ht="39" customHeight="1">
      <c r="A36" s="99">
        <v>1832879</v>
      </c>
      <c r="B36" s="99" t="s">
        <v>23</v>
      </c>
      <c r="C36" s="99" t="s">
        <v>98</v>
      </c>
      <c r="D36" s="85" t="s">
        <v>82</v>
      </c>
      <c r="E36"/>
      <c r="F36" s="101" t="s">
        <v>99</v>
      </c>
      <c r="G36" s="102" t="s">
        <v>70</v>
      </c>
      <c r="H36" s="103" t="s">
        <v>100</v>
      </c>
      <c r="I36" s="104" t="s">
        <v>89</v>
      </c>
      <c r="J36" s="105" t="s">
        <v>85</v>
      </c>
      <c r="K36" s="105"/>
    </row>
    <row r="37" spans="1:11" s="106" customFormat="1" ht="36" customHeight="1">
      <c r="A37" s="99">
        <v>7066163</v>
      </c>
      <c r="B37" s="99" t="s">
        <v>35</v>
      </c>
      <c r="C37" s="99" t="s">
        <v>101</v>
      </c>
      <c r="D37" s="85" t="s">
        <v>82</v>
      </c>
      <c r="E37"/>
      <c r="F37" s="101" t="s">
        <v>102</v>
      </c>
      <c r="G37" s="102" t="s">
        <v>70</v>
      </c>
      <c r="H37" s="107" t="s">
        <v>88</v>
      </c>
      <c r="I37" s="108" t="s">
        <v>89</v>
      </c>
      <c r="J37" s="105" t="s">
        <v>85</v>
      </c>
      <c r="K37" s="109" t="s">
        <v>103</v>
      </c>
    </row>
    <row r="38" spans="1:11" s="92" customFormat="1" ht="20.25" customHeight="1">
      <c r="A38" s="84">
        <v>9253300</v>
      </c>
      <c r="B38" s="84" t="s">
        <v>23</v>
      </c>
      <c r="C38" s="84" t="s">
        <v>105</v>
      </c>
      <c r="D38" s="85" t="s">
        <v>82</v>
      </c>
      <c r="E38"/>
      <c r="F38" s="91"/>
      <c r="G38" s="91"/>
      <c r="H38" s="91"/>
      <c r="I38" s="91"/>
      <c r="J38" s="91"/>
      <c r="K38" s="111" t="s">
        <v>106</v>
      </c>
    </row>
    <row r="39" spans="1:11" s="92" customFormat="1" ht="20.25" customHeight="1">
      <c r="A39" s="84">
        <v>2770266</v>
      </c>
      <c r="B39" s="84" t="s">
        <v>711</v>
      </c>
      <c r="C39" s="84" t="s">
        <v>712</v>
      </c>
      <c r="D39" s="85" t="s">
        <v>82</v>
      </c>
      <c r="E39"/>
      <c r="F39" s="91"/>
      <c r="G39" s="91"/>
      <c r="H39" s="91"/>
      <c r="I39" s="91"/>
      <c r="J39" s="91"/>
      <c r="K39" s="111"/>
    </row>
    <row r="40" spans="1:11" s="92" customFormat="1" ht="49.5" customHeight="1">
      <c r="A40" s="84">
        <v>91721</v>
      </c>
      <c r="B40" s="84" t="s">
        <v>35</v>
      </c>
      <c r="C40" s="84" t="s">
        <v>107</v>
      </c>
      <c r="D40" s="85" t="s">
        <v>82</v>
      </c>
      <c r="E40"/>
      <c r="F40" s="90" t="s">
        <v>108</v>
      </c>
      <c r="G40" s="87" t="s">
        <v>70</v>
      </c>
      <c r="H40" s="112" t="s">
        <v>100</v>
      </c>
      <c r="I40" s="89" t="s">
        <v>89</v>
      </c>
      <c r="J40" s="113" t="s">
        <v>85</v>
      </c>
      <c r="K40" s="86" t="s">
        <v>104</v>
      </c>
    </row>
    <row r="41" spans="1:11" s="92" customFormat="1" ht="51" customHeight="1">
      <c r="A41" s="84">
        <v>645324</v>
      </c>
      <c r="B41" s="84" t="s">
        <v>34</v>
      </c>
      <c r="C41" s="84" t="s">
        <v>109</v>
      </c>
      <c r="D41" s="85" t="s">
        <v>82</v>
      </c>
      <c r="E41"/>
      <c r="F41" s="86" t="s">
        <v>110</v>
      </c>
      <c r="G41" s="87" t="s">
        <v>70</v>
      </c>
      <c r="H41" s="112" t="s">
        <v>100</v>
      </c>
      <c r="I41" s="114" t="s">
        <v>111</v>
      </c>
      <c r="J41" s="115" t="s">
        <v>85</v>
      </c>
      <c r="K41" s="86" t="s">
        <v>104</v>
      </c>
    </row>
    <row r="42" spans="1:11" s="92" customFormat="1" ht="54" customHeight="1">
      <c r="A42" s="84">
        <v>1019849</v>
      </c>
      <c r="B42" s="84" t="s">
        <v>112</v>
      </c>
      <c r="C42" s="84" t="s">
        <v>113</v>
      </c>
      <c r="D42" s="85" t="s">
        <v>82</v>
      </c>
      <c r="E42"/>
      <c r="F42" s="112" t="s">
        <v>114</v>
      </c>
      <c r="G42" s="87" t="s">
        <v>70</v>
      </c>
      <c r="H42" s="112" t="s">
        <v>88</v>
      </c>
      <c r="I42" s="89" t="s">
        <v>89</v>
      </c>
      <c r="J42" s="115" t="s">
        <v>85</v>
      </c>
      <c r="K42" s="112" t="s">
        <v>115</v>
      </c>
    </row>
    <row r="43" spans="1:11" s="106" customFormat="1" ht="50.25" customHeight="1">
      <c r="A43" s="99">
        <v>1363680</v>
      </c>
      <c r="B43" s="99" t="s">
        <v>116</v>
      </c>
      <c r="C43" s="99" t="s">
        <v>117</v>
      </c>
      <c r="D43" s="85" t="s">
        <v>82</v>
      </c>
      <c r="E43"/>
      <c r="F43" s="107" t="s">
        <v>114</v>
      </c>
      <c r="G43" s="110" t="s">
        <v>70</v>
      </c>
      <c r="H43" s="103" t="s">
        <v>100</v>
      </c>
      <c r="I43" s="108" t="s">
        <v>89</v>
      </c>
      <c r="J43" s="116" t="s">
        <v>85</v>
      </c>
      <c r="K43" s="103" t="s">
        <v>104</v>
      </c>
    </row>
    <row r="44" spans="1:11" s="106" customFormat="1" ht="53.25" customHeight="1">
      <c r="A44" s="99">
        <v>1452944</v>
      </c>
      <c r="B44" s="99" t="s">
        <v>35</v>
      </c>
      <c r="C44" s="99" t="s">
        <v>118</v>
      </c>
      <c r="D44" s="85" t="s">
        <v>82</v>
      </c>
      <c r="E44"/>
      <c r="F44" s="117" t="s">
        <v>114</v>
      </c>
      <c r="G44" s="110" t="s">
        <v>70</v>
      </c>
      <c r="H44" s="103" t="s">
        <v>119</v>
      </c>
      <c r="I44" s="108" t="s">
        <v>89</v>
      </c>
      <c r="J44" s="116" t="s">
        <v>85</v>
      </c>
      <c r="K44" s="103" t="s">
        <v>104</v>
      </c>
    </row>
    <row r="45" spans="1:11" s="106" customFormat="1" ht="54.75" customHeight="1">
      <c r="A45" s="99">
        <v>1453152</v>
      </c>
      <c r="B45" s="99" t="s">
        <v>23</v>
      </c>
      <c r="C45" s="99" t="s">
        <v>120</v>
      </c>
      <c r="D45" s="85" t="s">
        <v>82</v>
      </c>
      <c r="E45"/>
      <c r="F45" s="101" t="s">
        <v>114</v>
      </c>
      <c r="G45" s="110" t="s">
        <v>70</v>
      </c>
      <c r="H45" s="103" t="s">
        <v>100</v>
      </c>
      <c r="I45" s="108" t="s">
        <v>89</v>
      </c>
      <c r="J45" s="116" t="s">
        <v>85</v>
      </c>
      <c r="K45" s="103" t="s">
        <v>104</v>
      </c>
    </row>
    <row r="46" spans="1:11" s="106" customFormat="1" ht="52.5" customHeight="1">
      <c r="A46" s="99">
        <v>1453317</v>
      </c>
      <c r="B46" s="99" t="s">
        <v>35</v>
      </c>
      <c r="C46" s="99" t="s">
        <v>113</v>
      </c>
      <c r="D46" s="85" t="s">
        <v>82</v>
      </c>
      <c r="E46"/>
      <c r="F46" s="103" t="s">
        <v>114</v>
      </c>
      <c r="G46" s="110" t="s">
        <v>70</v>
      </c>
      <c r="H46" s="103" t="s">
        <v>88</v>
      </c>
      <c r="I46" s="108" t="s">
        <v>89</v>
      </c>
      <c r="J46" s="116" t="s">
        <v>85</v>
      </c>
      <c r="K46" s="103" t="s">
        <v>104</v>
      </c>
    </row>
    <row r="47" spans="1:11" s="106" customFormat="1" ht="57" customHeight="1">
      <c r="A47" s="99">
        <v>1453325</v>
      </c>
      <c r="B47" s="99" t="s">
        <v>35</v>
      </c>
      <c r="C47" s="99" t="s">
        <v>121</v>
      </c>
      <c r="D47" s="85" t="s">
        <v>82</v>
      </c>
      <c r="E47"/>
      <c r="F47" s="103" t="s">
        <v>114</v>
      </c>
      <c r="G47" s="110" t="s">
        <v>70</v>
      </c>
      <c r="H47" s="103" t="s">
        <v>122</v>
      </c>
      <c r="I47" s="108" t="s">
        <v>89</v>
      </c>
      <c r="J47" s="116" t="s">
        <v>85</v>
      </c>
      <c r="K47" s="118" t="s">
        <v>104</v>
      </c>
    </row>
    <row r="48" spans="1:11" s="106" customFormat="1" ht="59.25" customHeight="1">
      <c r="A48" s="99">
        <v>1453397</v>
      </c>
      <c r="B48" s="119" t="s">
        <v>123</v>
      </c>
      <c r="C48" s="99" t="s">
        <v>124</v>
      </c>
      <c r="D48" s="85" t="s">
        <v>82</v>
      </c>
      <c r="E48"/>
      <c r="F48" s="103" t="s">
        <v>114</v>
      </c>
      <c r="G48" s="110" t="s">
        <v>70</v>
      </c>
      <c r="H48" s="103" t="s">
        <v>122</v>
      </c>
      <c r="I48" s="108" t="s">
        <v>89</v>
      </c>
      <c r="J48" s="116" t="s">
        <v>85</v>
      </c>
      <c r="K48" s="103" t="s">
        <v>104</v>
      </c>
    </row>
    <row r="49" spans="1:12" ht="45" customHeight="1">
      <c r="A49" s="5">
        <v>8095100</v>
      </c>
      <c r="B49" s="5" t="s">
        <v>125</v>
      </c>
      <c r="C49" s="5" t="s">
        <v>120</v>
      </c>
      <c r="D49" s="85" t="s">
        <v>82</v>
      </c>
      <c r="F49" s="7"/>
      <c r="G49" s="7"/>
      <c r="H49" s="7"/>
      <c r="I49" s="7"/>
      <c r="J49" s="26"/>
      <c r="K49" s="25" t="s">
        <v>126</v>
      </c>
      <c r="L49" s="27"/>
    </row>
    <row r="50" spans="1:12" s="106" customFormat="1" ht="69.75" customHeight="1">
      <c r="A50" s="99">
        <v>1452803</v>
      </c>
      <c r="B50" s="99" t="s">
        <v>127</v>
      </c>
      <c r="C50" s="99" t="s">
        <v>128</v>
      </c>
      <c r="D50" s="100" t="s">
        <v>129</v>
      </c>
      <c r="E50"/>
      <c r="F50" s="103" t="s">
        <v>130</v>
      </c>
      <c r="G50" s="103" t="s">
        <v>131</v>
      </c>
      <c r="H50" s="103" t="s">
        <v>132</v>
      </c>
      <c r="I50" s="120" t="s">
        <v>133</v>
      </c>
      <c r="J50" s="103" t="s">
        <v>134</v>
      </c>
      <c r="K50" s="103" t="s">
        <v>135</v>
      </c>
    </row>
    <row r="51" spans="1:12" s="106" customFormat="1" ht="69.75" customHeight="1">
      <c r="A51" s="99">
        <v>6308460</v>
      </c>
      <c r="B51" s="99" t="s">
        <v>136</v>
      </c>
      <c r="C51" s="99" t="s">
        <v>128</v>
      </c>
      <c r="D51" s="100" t="s">
        <v>129</v>
      </c>
      <c r="E51"/>
      <c r="F51" s="103" t="s">
        <v>130</v>
      </c>
      <c r="G51" s="103" t="s">
        <v>131</v>
      </c>
      <c r="H51" s="116" t="s">
        <v>137</v>
      </c>
      <c r="I51" s="103" t="s">
        <v>133</v>
      </c>
      <c r="J51" s="103" t="s">
        <v>134</v>
      </c>
      <c r="K51" s="103" t="s">
        <v>135</v>
      </c>
    </row>
    <row r="52" spans="1:12" s="54" customFormat="1" ht="47.25" customHeight="1">
      <c r="A52" s="52">
        <v>1452809</v>
      </c>
      <c r="B52" s="52" t="s">
        <v>138</v>
      </c>
      <c r="C52" s="52" t="s">
        <v>139</v>
      </c>
      <c r="D52" s="53" t="s">
        <v>140</v>
      </c>
      <c r="E52"/>
      <c r="F52" s="55" t="s">
        <v>141</v>
      </c>
      <c r="G52" s="81" t="s">
        <v>70</v>
      </c>
      <c r="H52" s="81" t="s">
        <v>142</v>
      </c>
      <c r="I52" s="121" t="s">
        <v>143</v>
      </c>
      <c r="J52" s="81" t="s">
        <v>144</v>
      </c>
      <c r="K52" s="81" t="s">
        <v>145</v>
      </c>
      <c r="L52" s="122" t="s">
        <v>146</v>
      </c>
    </row>
    <row r="53" spans="1:12" s="54" customFormat="1" ht="37.5" customHeight="1">
      <c r="A53" s="52">
        <v>5547575</v>
      </c>
      <c r="B53" s="52" t="s">
        <v>35</v>
      </c>
      <c r="C53" s="52" t="s">
        <v>147</v>
      </c>
      <c r="D53" s="53" t="s">
        <v>140</v>
      </c>
      <c r="E53"/>
      <c r="F53" s="55" t="s">
        <v>141</v>
      </c>
      <c r="G53" s="81" t="s">
        <v>70</v>
      </c>
      <c r="H53" s="55" t="s">
        <v>142</v>
      </c>
      <c r="I53" s="55" t="s">
        <v>143</v>
      </c>
      <c r="J53" s="81" t="s">
        <v>144</v>
      </c>
      <c r="K53" s="81" t="s">
        <v>145</v>
      </c>
      <c r="L53" s="123" t="s">
        <v>146</v>
      </c>
    </row>
    <row r="54" spans="1:12" s="54" customFormat="1" ht="37.5" customHeight="1">
      <c r="A54" s="52">
        <v>4551530</v>
      </c>
      <c r="B54" s="52" t="s">
        <v>35</v>
      </c>
      <c r="C54" s="52" t="s">
        <v>631</v>
      </c>
      <c r="D54" s="53" t="s">
        <v>149</v>
      </c>
      <c r="E54"/>
      <c r="F54" s="55" t="s">
        <v>150</v>
      </c>
      <c r="G54" s="55" t="s">
        <v>151</v>
      </c>
      <c r="H54" s="55" t="s">
        <v>152</v>
      </c>
      <c r="I54" s="55" t="s">
        <v>153</v>
      </c>
      <c r="J54" s="55" t="s">
        <v>154</v>
      </c>
      <c r="K54" s="55" t="s">
        <v>155</v>
      </c>
      <c r="L54" s="123"/>
    </row>
    <row r="55" spans="1:12" s="54" customFormat="1" ht="39.75" customHeight="1">
      <c r="A55" s="52">
        <v>6572286</v>
      </c>
      <c r="B55" s="52" t="s">
        <v>35</v>
      </c>
      <c r="C55" s="52" t="s">
        <v>148</v>
      </c>
      <c r="D55" s="53" t="s">
        <v>149</v>
      </c>
      <c r="E55"/>
      <c r="F55" s="55" t="s">
        <v>150</v>
      </c>
      <c r="G55" s="55" t="s">
        <v>151</v>
      </c>
      <c r="H55" s="55" t="s">
        <v>152</v>
      </c>
      <c r="I55" s="55" t="s">
        <v>153</v>
      </c>
      <c r="J55" s="55" t="s">
        <v>154</v>
      </c>
      <c r="K55" s="55" t="s">
        <v>155</v>
      </c>
    </row>
    <row r="56" spans="1:12" s="54" customFormat="1" ht="49.5" customHeight="1">
      <c r="A56" s="52">
        <v>1454330</v>
      </c>
      <c r="B56" s="52" t="s">
        <v>23</v>
      </c>
      <c r="C56" s="52" t="s">
        <v>156</v>
      </c>
      <c r="D56" s="53" t="s">
        <v>149</v>
      </c>
      <c r="E56"/>
      <c r="F56" s="55" t="s">
        <v>150</v>
      </c>
      <c r="G56" s="55" t="s">
        <v>151</v>
      </c>
      <c r="H56" s="55" t="s">
        <v>152</v>
      </c>
      <c r="I56" s="55" t="s">
        <v>153</v>
      </c>
      <c r="J56" s="55" t="s">
        <v>154</v>
      </c>
      <c r="K56" s="55" t="s">
        <v>155</v>
      </c>
    </row>
    <row r="57" spans="1:12" s="54" customFormat="1" ht="51.75" customHeight="1">
      <c r="A57" s="52">
        <v>7936519</v>
      </c>
      <c r="B57" s="52" t="s">
        <v>23</v>
      </c>
      <c r="C57" s="52" t="s">
        <v>157</v>
      </c>
      <c r="D57" s="53" t="s">
        <v>149</v>
      </c>
      <c r="E57"/>
      <c r="F57" s="55" t="s">
        <v>150</v>
      </c>
      <c r="G57" s="55" t="s">
        <v>151</v>
      </c>
      <c r="H57" s="55" t="s">
        <v>152</v>
      </c>
      <c r="I57" s="55" t="s">
        <v>153</v>
      </c>
      <c r="J57" s="55" t="s">
        <v>154</v>
      </c>
      <c r="K57" s="55" t="s">
        <v>155</v>
      </c>
    </row>
    <row r="58" spans="1:12" s="54" customFormat="1" ht="51.75" customHeight="1">
      <c r="A58" s="52">
        <v>6571971</v>
      </c>
      <c r="B58" s="52" t="s">
        <v>714</v>
      </c>
      <c r="C58" s="52" t="s">
        <v>159</v>
      </c>
      <c r="D58" s="53" t="s">
        <v>149</v>
      </c>
      <c r="E58"/>
      <c r="F58" s="55" t="s">
        <v>150</v>
      </c>
      <c r="G58" s="55" t="s">
        <v>151</v>
      </c>
      <c r="H58" s="55" t="s">
        <v>152</v>
      </c>
      <c r="I58" s="55" t="s">
        <v>153</v>
      </c>
      <c r="J58" s="55" t="s">
        <v>154</v>
      </c>
      <c r="K58" s="55" t="s">
        <v>155</v>
      </c>
    </row>
    <row r="59" spans="1:12" s="54" customFormat="1" ht="52.5" customHeight="1">
      <c r="A59" s="52">
        <v>1015710</v>
      </c>
      <c r="B59" s="52" t="s">
        <v>158</v>
      </c>
      <c r="C59" s="52" t="s">
        <v>159</v>
      </c>
      <c r="D59" s="53" t="s">
        <v>149</v>
      </c>
      <c r="E59"/>
      <c r="F59" s="55" t="s">
        <v>150</v>
      </c>
      <c r="G59" s="55" t="s">
        <v>151</v>
      </c>
      <c r="H59" s="55" t="s">
        <v>152</v>
      </c>
      <c r="I59" s="55" t="s">
        <v>153</v>
      </c>
      <c r="J59" s="55" t="s">
        <v>154</v>
      </c>
      <c r="K59" s="55" t="s">
        <v>155</v>
      </c>
    </row>
    <row r="60" spans="1:12" s="54" customFormat="1" ht="53.25" customHeight="1">
      <c r="A60" s="52">
        <v>13864</v>
      </c>
      <c r="B60" s="52" t="s">
        <v>160</v>
      </c>
      <c r="C60" s="52" t="s">
        <v>161</v>
      </c>
      <c r="D60" s="53" t="s">
        <v>149</v>
      </c>
      <c r="E60"/>
      <c r="F60" s="55" t="s">
        <v>150</v>
      </c>
      <c r="G60" s="55" t="s">
        <v>151</v>
      </c>
      <c r="H60" s="55" t="s">
        <v>152</v>
      </c>
      <c r="I60" s="55" t="s">
        <v>153</v>
      </c>
      <c r="J60" s="55" t="s">
        <v>154</v>
      </c>
      <c r="K60" s="55" t="s">
        <v>155</v>
      </c>
    </row>
    <row r="61" spans="1:12" s="54" customFormat="1" ht="53.25" customHeight="1">
      <c r="A61" s="52">
        <v>1452806</v>
      </c>
      <c r="B61" s="52"/>
      <c r="C61" s="52"/>
      <c r="D61" s="53" t="s">
        <v>140</v>
      </c>
      <c r="E61"/>
      <c r="F61" s="55"/>
      <c r="G61" s="55"/>
      <c r="H61" s="55"/>
      <c r="I61" s="55"/>
      <c r="J61" s="55"/>
      <c r="K61" s="55"/>
    </row>
    <row r="62" spans="1:12" s="54" customFormat="1" ht="54" customHeight="1">
      <c r="A62" s="52">
        <v>1452801</v>
      </c>
      <c r="B62" s="52" t="s">
        <v>162</v>
      </c>
      <c r="C62" s="52" t="s">
        <v>163</v>
      </c>
      <c r="D62" s="53" t="s">
        <v>149</v>
      </c>
      <c r="E62"/>
      <c r="F62" s="55" t="s">
        <v>150</v>
      </c>
      <c r="G62" s="55" t="s">
        <v>151</v>
      </c>
      <c r="H62" s="55" t="s">
        <v>152</v>
      </c>
      <c r="I62" s="55" t="s">
        <v>153</v>
      </c>
      <c r="J62" s="55" t="s">
        <v>154</v>
      </c>
      <c r="K62" s="55" t="s">
        <v>155</v>
      </c>
    </row>
    <row r="63" spans="1:12" s="54" customFormat="1" ht="51.75" customHeight="1">
      <c r="A63" s="52">
        <v>1452967</v>
      </c>
      <c r="B63" s="52" t="s">
        <v>164</v>
      </c>
      <c r="C63" s="52" t="s">
        <v>165</v>
      </c>
      <c r="D63" s="53" t="s">
        <v>149</v>
      </c>
      <c r="E63"/>
      <c r="F63" s="55" t="s">
        <v>150</v>
      </c>
      <c r="G63" s="55" t="s">
        <v>151</v>
      </c>
      <c r="H63" s="55" t="s">
        <v>152</v>
      </c>
      <c r="I63" s="55" t="s">
        <v>153</v>
      </c>
      <c r="J63" s="55" t="s">
        <v>154</v>
      </c>
      <c r="K63" s="55" t="s">
        <v>155</v>
      </c>
    </row>
    <row r="64" spans="1:12" s="54" customFormat="1" ht="53.25" customHeight="1">
      <c r="A64" s="52">
        <v>1452969</v>
      </c>
      <c r="B64" s="52" t="s">
        <v>166</v>
      </c>
      <c r="C64" s="52" t="s">
        <v>159</v>
      </c>
      <c r="D64" s="53" t="s">
        <v>149</v>
      </c>
      <c r="E64"/>
      <c r="F64" s="55" t="s">
        <v>150</v>
      </c>
      <c r="G64" s="55" t="s">
        <v>151</v>
      </c>
      <c r="H64" s="55" t="s">
        <v>152</v>
      </c>
      <c r="I64" s="55" t="s">
        <v>153</v>
      </c>
      <c r="J64" s="55" t="s">
        <v>154</v>
      </c>
      <c r="K64" s="55" t="s">
        <v>155</v>
      </c>
    </row>
    <row r="65" spans="1:11" s="54" customFormat="1" ht="55.5" customHeight="1">
      <c r="A65" s="52">
        <v>1452987</v>
      </c>
      <c r="B65" s="52" t="s">
        <v>167</v>
      </c>
      <c r="C65" s="52" t="s">
        <v>168</v>
      </c>
      <c r="D65" s="53" t="s">
        <v>149</v>
      </c>
      <c r="E65"/>
      <c r="F65" s="55" t="s">
        <v>150</v>
      </c>
      <c r="G65" s="55" t="s">
        <v>151</v>
      </c>
      <c r="H65" s="55" t="s">
        <v>152</v>
      </c>
      <c r="I65" s="55" t="s">
        <v>153</v>
      </c>
      <c r="J65" s="55" t="s">
        <v>154</v>
      </c>
      <c r="K65" s="55" t="s">
        <v>155</v>
      </c>
    </row>
    <row r="66" spans="1:11" s="54" customFormat="1" ht="54" customHeight="1">
      <c r="A66" s="52">
        <v>1453048</v>
      </c>
      <c r="B66" s="52" t="s">
        <v>169</v>
      </c>
      <c r="C66" s="52" t="s">
        <v>157</v>
      </c>
      <c r="D66" s="53" t="s">
        <v>149</v>
      </c>
      <c r="E66"/>
      <c r="F66" s="55" t="s">
        <v>150</v>
      </c>
      <c r="G66" s="55" t="s">
        <v>151</v>
      </c>
      <c r="H66" s="55" t="s">
        <v>152</v>
      </c>
      <c r="I66" s="55" t="s">
        <v>153</v>
      </c>
      <c r="J66" s="55" t="s">
        <v>154</v>
      </c>
      <c r="K66" s="55" t="s">
        <v>155</v>
      </c>
    </row>
    <row r="67" spans="1:11" s="54" customFormat="1" ht="52.5" customHeight="1">
      <c r="A67" s="52">
        <v>1455401</v>
      </c>
      <c r="B67" s="52" t="s">
        <v>35</v>
      </c>
      <c r="C67" s="52" t="s">
        <v>170</v>
      </c>
      <c r="D67" s="53" t="s">
        <v>149</v>
      </c>
      <c r="E67"/>
      <c r="F67" s="55" t="s">
        <v>150</v>
      </c>
      <c r="G67" s="55" t="s">
        <v>151</v>
      </c>
      <c r="H67" s="55" t="s">
        <v>152</v>
      </c>
      <c r="I67" s="55" t="s">
        <v>153</v>
      </c>
      <c r="J67" s="55" t="s">
        <v>154</v>
      </c>
      <c r="K67" s="55" t="s">
        <v>155</v>
      </c>
    </row>
    <row r="68" spans="1:11" s="54" customFormat="1" ht="52.5" customHeight="1">
      <c r="A68" s="52">
        <v>1655881</v>
      </c>
      <c r="B68" s="52" t="s">
        <v>171</v>
      </c>
      <c r="C68" s="52" t="s">
        <v>168</v>
      </c>
      <c r="D68" s="53" t="s">
        <v>149</v>
      </c>
      <c r="E68"/>
      <c r="F68" s="55" t="s">
        <v>150</v>
      </c>
      <c r="G68" s="55" t="s">
        <v>151</v>
      </c>
      <c r="H68" s="55" t="s">
        <v>152</v>
      </c>
      <c r="I68" s="55" t="s">
        <v>153</v>
      </c>
      <c r="J68" s="55" t="s">
        <v>154</v>
      </c>
      <c r="K68" s="55" t="s">
        <v>155</v>
      </c>
    </row>
    <row r="69" spans="1:11" s="54" customFormat="1" ht="52.5" customHeight="1">
      <c r="A69" s="52">
        <v>1727779</v>
      </c>
      <c r="B69" s="52" t="s">
        <v>172</v>
      </c>
      <c r="C69" s="52" t="s">
        <v>173</v>
      </c>
      <c r="D69" s="53" t="s">
        <v>149</v>
      </c>
      <c r="E69"/>
      <c r="F69" s="55" t="s">
        <v>150</v>
      </c>
      <c r="G69" s="55" t="s">
        <v>151</v>
      </c>
      <c r="H69" s="55" t="s">
        <v>152</v>
      </c>
      <c r="I69" s="55" t="s">
        <v>153</v>
      </c>
      <c r="J69" s="55" t="s">
        <v>154</v>
      </c>
      <c r="K69" s="55" t="s">
        <v>155</v>
      </c>
    </row>
    <row r="70" spans="1:11" s="54" customFormat="1" ht="47.25" customHeight="1">
      <c r="A70" s="52">
        <v>2078450</v>
      </c>
      <c r="B70" s="52" t="s">
        <v>174</v>
      </c>
      <c r="C70" s="52" t="s">
        <v>175</v>
      </c>
      <c r="D70" s="53" t="s">
        <v>149</v>
      </c>
      <c r="E70"/>
      <c r="F70" s="55" t="s">
        <v>150</v>
      </c>
      <c r="G70" s="55" t="s">
        <v>151</v>
      </c>
      <c r="H70" s="55" t="s">
        <v>152</v>
      </c>
      <c r="I70" s="55" t="s">
        <v>153</v>
      </c>
      <c r="J70" s="55" t="s">
        <v>154</v>
      </c>
      <c r="K70" s="55" t="s">
        <v>155</v>
      </c>
    </row>
    <row r="71" spans="1:11" s="54" customFormat="1" ht="49.5" customHeight="1">
      <c r="A71" s="52">
        <v>3840515</v>
      </c>
      <c r="B71" s="52" t="s">
        <v>176</v>
      </c>
      <c r="C71" s="52" t="s">
        <v>177</v>
      </c>
      <c r="D71" s="53" t="s">
        <v>149</v>
      </c>
      <c r="E71"/>
      <c r="F71" s="55" t="s">
        <v>150</v>
      </c>
      <c r="G71" s="55" t="s">
        <v>151</v>
      </c>
      <c r="H71" s="55" t="s">
        <v>152</v>
      </c>
      <c r="I71" s="55" t="s">
        <v>153</v>
      </c>
      <c r="J71" s="55" t="s">
        <v>154</v>
      </c>
      <c r="K71" s="55" t="s">
        <v>155</v>
      </c>
    </row>
    <row r="72" spans="1:11" s="54" customFormat="1" ht="44.25" customHeight="1">
      <c r="A72" s="52">
        <v>7936503</v>
      </c>
      <c r="B72" s="52" t="s">
        <v>178</v>
      </c>
      <c r="C72" s="52" t="s">
        <v>179</v>
      </c>
      <c r="D72" s="53" t="s">
        <v>149</v>
      </c>
      <c r="E72"/>
      <c r="F72" s="55" t="s">
        <v>150</v>
      </c>
      <c r="G72" s="55" t="s">
        <v>151</v>
      </c>
      <c r="H72" s="55" t="s">
        <v>152</v>
      </c>
      <c r="I72" s="55" t="s">
        <v>153</v>
      </c>
      <c r="J72" s="55" t="s">
        <v>154</v>
      </c>
      <c r="K72" s="55" t="s">
        <v>155</v>
      </c>
    </row>
    <row r="73" spans="1:11" s="54" customFormat="1" ht="50.25" customHeight="1">
      <c r="A73" s="52">
        <v>7936525</v>
      </c>
      <c r="B73" s="52" t="s">
        <v>180</v>
      </c>
      <c r="C73" s="52" t="s">
        <v>165</v>
      </c>
      <c r="D73" s="53" t="s">
        <v>149</v>
      </c>
      <c r="E73"/>
      <c r="F73" s="55" t="s">
        <v>150</v>
      </c>
      <c r="G73" s="55" t="s">
        <v>151</v>
      </c>
      <c r="H73" s="55" t="s">
        <v>152</v>
      </c>
      <c r="I73" s="55" t="s">
        <v>153</v>
      </c>
      <c r="J73" s="55" t="s">
        <v>154</v>
      </c>
      <c r="K73" s="55" t="s">
        <v>155</v>
      </c>
    </row>
    <row r="74" spans="1:11" s="54" customFormat="1" ht="44.25" customHeight="1">
      <c r="A74" s="52">
        <v>8358715</v>
      </c>
      <c r="B74" s="52" t="s">
        <v>169</v>
      </c>
      <c r="C74" s="52" t="s">
        <v>181</v>
      </c>
      <c r="D74" s="53" t="s">
        <v>149</v>
      </c>
      <c r="E74"/>
      <c r="F74" s="55" t="s">
        <v>150</v>
      </c>
      <c r="G74" s="55" t="s">
        <v>151</v>
      </c>
      <c r="H74" s="55" t="s">
        <v>152</v>
      </c>
      <c r="I74" s="55" t="s">
        <v>153</v>
      </c>
      <c r="J74" s="55" t="s">
        <v>154</v>
      </c>
      <c r="K74" s="55" t="s">
        <v>155</v>
      </c>
    </row>
    <row r="75" spans="1:11" s="54" customFormat="1" ht="69.75" customHeight="1">
      <c r="A75" s="52">
        <v>116897</v>
      </c>
      <c r="B75" s="52" t="s">
        <v>182</v>
      </c>
      <c r="C75" s="52" t="s">
        <v>183</v>
      </c>
      <c r="D75" s="53" t="s">
        <v>184</v>
      </c>
      <c r="E75"/>
      <c r="F75" s="55" t="s">
        <v>185</v>
      </c>
      <c r="G75" s="55" t="s">
        <v>186</v>
      </c>
      <c r="H75" s="81" t="s">
        <v>187</v>
      </c>
      <c r="I75" s="55" t="s">
        <v>188</v>
      </c>
      <c r="J75" s="55" t="s">
        <v>189</v>
      </c>
      <c r="K75" s="55" t="s">
        <v>190</v>
      </c>
    </row>
    <row r="76" spans="1:11" ht="27" customHeight="1">
      <c r="A76" s="5">
        <v>1938350</v>
      </c>
      <c r="B76" s="5" t="s">
        <v>18</v>
      </c>
      <c r="C76" s="5" t="s">
        <v>191</v>
      </c>
      <c r="D76" s="21" t="s">
        <v>184</v>
      </c>
      <c r="F76" s="7"/>
      <c r="G76" s="7"/>
      <c r="H76" s="7"/>
      <c r="I76" s="7"/>
      <c r="J76" s="7"/>
      <c r="K76" s="7" t="s">
        <v>192</v>
      </c>
    </row>
    <row r="77" spans="1:11" s="54" customFormat="1" ht="63.75" customHeight="1">
      <c r="A77" s="52">
        <v>117980</v>
      </c>
      <c r="B77" s="52" t="s">
        <v>193</v>
      </c>
      <c r="C77" s="52" t="s">
        <v>194</v>
      </c>
      <c r="D77" s="53" t="s">
        <v>399</v>
      </c>
      <c r="E77"/>
      <c r="F77" s="55" t="s">
        <v>195</v>
      </c>
      <c r="G77" s="55" t="s">
        <v>196</v>
      </c>
      <c r="H77" s="81" t="s">
        <v>197</v>
      </c>
      <c r="I77" s="55" t="s">
        <v>198</v>
      </c>
      <c r="J77" s="55" t="s">
        <v>189</v>
      </c>
      <c r="K77" s="55" t="s">
        <v>199</v>
      </c>
    </row>
    <row r="78" spans="1:11" s="54" customFormat="1" ht="57.75" customHeight="1">
      <c r="A78" s="52">
        <v>1453157</v>
      </c>
      <c r="B78" s="52" t="s">
        <v>200</v>
      </c>
      <c r="C78" s="52" t="s">
        <v>183</v>
      </c>
      <c r="D78" s="53" t="s">
        <v>184</v>
      </c>
      <c r="E78"/>
      <c r="F78" s="55" t="s">
        <v>201</v>
      </c>
      <c r="G78" s="55" t="s">
        <v>186</v>
      </c>
      <c r="H78" s="81" t="s">
        <v>187</v>
      </c>
      <c r="I78" s="55" t="s">
        <v>188</v>
      </c>
      <c r="J78" s="55" t="s">
        <v>189</v>
      </c>
      <c r="K78" s="55" t="s">
        <v>190</v>
      </c>
    </row>
    <row r="79" spans="1:11" s="54" customFormat="1" ht="73.5" customHeight="1">
      <c r="A79" s="52">
        <v>1791326</v>
      </c>
      <c r="B79" s="52" t="s">
        <v>202</v>
      </c>
      <c r="C79" s="52" t="s">
        <v>194</v>
      </c>
      <c r="D79" s="53" t="s">
        <v>184</v>
      </c>
      <c r="E79"/>
      <c r="F79" s="55" t="s">
        <v>195</v>
      </c>
      <c r="G79" s="55" t="s">
        <v>196</v>
      </c>
      <c r="H79" s="81" t="s">
        <v>197</v>
      </c>
      <c r="I79" s="55" t="s">
        <v>198</v>
      </c>
      <c r="J79" s="55" t="s">
        <v>189</v>
      </c>
      <c r="K79" s="55" t="s">
        <v>199</v>
      </c>
    </row>
    <row r="80" spans="1:11" s="54" customFormat="1" ht="68.25" customHeight="1">
      <c r="A80" s="52">
        <v>7629034</v>
      </c>
      <c r="B80" s="52" t="s">
        <v>23</v>
      </c>
      <c r="C80" s="52" t="s">
        <v>203</v>
      </c>
      <c r="D80" s="53" t="s">
        <v>204</v>
      </c>
      <c r="E80"/>
      <c r="F80" s="55" t="s">
        <v>324</v>
      </c>
      <c r="G80" s="81" t="s">
        <v>70</v>
      </c>
      <c r="H80" s="55" t="s">
        <v>205</v>
      </c>
      <c r="I80" s="55" t="s">
        <v>206</v>
      </c>
      <c r="J80" s="55" t="s">
        <v>207</v>
      </c>
      <c r="K80" s="81" t="s">
        <v>208</v>
      </c>
    </row>
    <row r="81" spans="1:11" ht="16.5" customHeight="1">
      <c r="A81" s="5">
        <v>1452808</v>
      </c>
      <c r="B81" s="5" t="s">
        <v>23</v>
      </c>
      <c r="C81" s="5" t="s">
        <v>209</v>
      </c>
      <c r="D81" s="21" t="s">
        <v>204</v>
      </c>
      <c r="F81" s="7"/>
      <c r="G81" s="7"/>
      <c r="H81" s="7"/>
      <c r="I81" s="7"/>
      <c r="J81" s="7"/>
      <c r="K81" s="7" t="s">
        <v>210</v>
      </c>
    </row>
    <row r="82" spans="1:11" ht="16.5" customHeight="1">
      <c r="A82" s="5">
        <v>1453082</v>
      </c>
      <c r="B82" s="5" t="s">
        <v>35</v>
      </c>
      <c r="C82" s="5" t="s">
        <v>203</v>
      </c>
      <c r="D82" s="21" t="s">
        <v>204</v>
      </c>
      <c r="F82" s="7"/>
      <c r="G82" s="7"/>
      <c r="H82" s="7"/>
      <c r="I82" s="7"/>
      <c r="J82" s="7"/>
      <c r="K82" s="7" t="s">
        <v>211</v>
      </c>
    </row>
    <row r="83" spans="1:11" ht="15" customHeight="1">
      <c r="A83" s="5">
        <v>2062731</v>
      </c>
      <c r="B83" s="5" t="s">
        <v>212</v>
      </c>
      <c r="C83" s="5" t="s">
        <v>203</v>
      </c>
      <c r="D83" s="21" t="s">
        <v>204</v>
      </c>
      <c r="F83" s="7"/>
      <c r="G83" s="7"/>
      <c r="H83" s="7"/>
      <c r="I83" s="7"/>
      <c r="J83" s="7"/>
      <c r="K83" s="7" t="s">
        <v>213</v>
      </c>
    </row>
    <row r="84" spans="1:11" s="54" customFormat="1" ht="49.5" customHeight="1">
      <c r="A84" s="52">
        <v>8073826</v>
      </c>
      <c r="B84" s="52" t="s">
        <v>35</v>
      </c>
      <c r="C84" s="52" t="s">
        <v>209</v>
      </c>
      <c r="D84" s="53" t="s">
        <v>204</v>
      </c>
      <c r="E84"/>
      <c r="F84" s="55" t="s">
        <v>324</v>
      </c>
      <c r="G84" s="81" t="s">
        <v>70</v>
      </c>
      <c r="H84" s="55" t="s">
        <v>205</v>
      </c>
      <c r="I84" s="55" t="s">
        <v>206</v>
      </c>
      <c r="J84" s="55" t="s">
        <v>207</v>
      </c>
      <c r="K84" s="81" t="s">
        <v>208</v>
      </c>
    </row>
    <row r="85" spans="1:11" s="54" customFormat="1" ht="46.5" customHeight="1">
      <c r="A85" s="52">
        <v>8073971</v>
      </c>
      <c r="B85" s="52" t="s">
        <v>35</v>
      </c>
      <c r="C85" s="52" t="s">
        <v>203</v>
      </c>
      <c r="D85" s="53" t="s">
        <v>204</v>
      </c>
      <c r="E85"/>
      <c r="F85" s="55" t="s">
        <v>324</v>
      </c>
      <c r="G85" s="81" t="s">
        <v>70</v>
      </c>
      <c r="H85" s="55" t="s">
        <v>205</v>
      </c>
      <c r="I85" s="55" t="s">
        <v>206</v>
      </c>
      <c r="J85" s="55" t="s">
        <v>207</v>
      </c>
      <c r="K85" s="81" t="s">
        <v>208</v>
      </c>
    </row>
    <row r="86" spans="1:11" ht="17.25" customHeight="1">
      <c r="A86" s="5">
        <v>5228129</v>
      </c>
      <c r="B86" s="5" t="s">
        <v>214</v>
      </c>
      <c r="C86" s="5" t="s">
        <v>214</v>
      </c>
      <c r="D86" s="21" t="s">
        <v>215</v>
      </c>
      <c r="F86" s="7"/>
      <c r="G86" s="7"/>
      <c r="H86" s="7"/>
      <c r="I86" s="7"/>
      <c r="J86" s="7"/>
      <c r="K86" s="7" t="s">
        <v>211</v>
      </c>
    </row>
    <row r="87" spans="1:11" ht="15" customHeight="1">
      <c r="A87" s="5">
        <v>543635</v>
      </c>
      <c r="B87" s="5" t="s">
        <v>23</v>
      </c>
      <c r="C87" s="5" t="s">
        <v>216</v>
      </c>
      <c r="D87" s="21" t="s">
        <v>217</v>
      </c>
      <c r="F87" s="7"/>
      <c r="G87" s="7"/>
      <c r="H87" s="7"/>
      <c r="I87" s="7"/>
      <c r="J87" s="7"/>
      <c r="K87" s="7" t="s">
        <v>218</v>
      </c>
    </row>
    <row r="88" spans="1:11" s="54" customFormat="1" ht="51" customHeight="1">
      <c r="A88" s="52">
        <v>2254080</v>
      </c>
      <c r="B88" s="52" t="s">
        <v>219</v>
      </c>
      <c r="C88" s="52" t="s">
        <v>219</v>
      </c>
      <c r="D88" s="53" t="s">
        <v>220</v>
      </c>
      <c r="E88"/>
      <c r="F88" s="81" t="s">
        <v>70</v>
      </c>
      <c r="G88" s="81" t="s">
        <v>70</v>
      </c>
      <c r="H88" s="55" t="s">
        <v>221</v>
      </c>
      <c r="I88" s="55" t="s">
        <v>222</v>
      </c>
      <c r="J88" s="81" t="s">
        <v>70</v>
      </c>
      <c r="K88" s="55" t="s">
        <v>223</v>
      </c>
    </row>
    <row r="89" spans="1:11" s="54" customFormat="1" ht="49.5" customHeight="1">
      <c r="A89" s="52">
        <v>7342612</v>
      </c>
      <c r="B89" s="52" t="s">
        <v>138</v>
      </c>
      <c r="C89" s="52" t="s">
        <v>224</v>
      </c>
      <c r="D89" s="53" t="s">
        <v>225</v>
      </c>
      <c r="E89"/>
      <c r="F89" s="55" t="s">
        <v>226</v>
      </c>
      <c r="G89" s="81" t="s">
        <v>70</v>
      </c>
      <c r="H89" s="81" t="s">
        <v>227</v>
      </c>
      <c r="I89" s="55" t="s">
        <v>228</v>
      </c>
      <c r="J89" s="55" t="s">
        <v>229</v>
      </c>
      <c r="K89" s="81" t="s">
        <v>230</v>
      </c>
    </row>
    <row r="90" spans="1:11" s="54" customFormat="1" ht="53.25" customHeight="1">
      <c r="A90" s="52">
        <v>1452923</v>
      </c>
      <c r="B90" s="52" t="s">
        <v>231</v>
      </c>
      <c r="C90" s="52" t="s">
        <v>232</v>
      </c>
      <c r="D90" s="53" t="s">
        <v>225</v>
      </c>
      <c r="E90"/>
      <c r="F90" s="55" t="s">
        <v>233</v>
      </c>
      <c r="G90" s="81" t="s">
        <v>70</v>
      </c>
      <c r="H90" s="81" t="s">
        <v>234</v>
      </c>
      <c r="I90" s="55" t="s">
        <v>235</v>
      </c>
      <c r="J90" s="55" t="s">
        <v>229</v>
      </c>
      <c r="K90" s="81" t="s">
        <v>230</v>
      </c>
    </row>
    <row r="91" spans="1:11" s="54" customFormat="1" ht="51.75" customHeight="1">
      <c r="A91" s="52">
        <v>1453042</v>
      </c>
      <c r="B91" s="52" t="s">
        <v>236</v>
      </c>
      <c r="C91" s="52" t="s">
        <v>237</v>
      </c>
      <c r="D91" s="52" t="s">
        <v>225</v>
      </c>
      <c r="E91"/>
      <c r="F91" s="55" t="s">
        <v>233</v>
      </c>
      <c r="G91" s="81" t="s">
        <v>238</v>
      </c>
      <c r="H91" s="81" t="s">
        <v>227</v>
      </c>
      <c r="I91" s="55" t="s">
        <v>235</v>
      </c>
      <c r="J91" s="55" t="s">
        <v>229</v>
      </c>
      <c r="K91" s="81" t="s">
        <v>230</v>
      </c>
    </row>
    <row r="92" spans="1:11" s="54" customFormat="1" ht="51.75" customHeight="1">
      <c r="A92" s="52">
        <v>1453043</v>
      </c>
      <c r="B92" s="52" t="s">
        <v>169</v>
      </c>
      <c r="C92" s="52" t="s">
        <v>239</v>
      </c>
      <c r="D92" s="52" t="s">
        <v>225</v>
      </c>
      <c r="E92"/>
      <c r="F92" s="55" t="s">
        <v>233</v>
      </c>
      <c r="G92" s="81" t="s">
        <v>70</v>
      </c>
      <c r="H92" s="81" t="s">
        <v>227</v>
      </c>
      <c r="I92" s="55" t="s">
        <v>235</v>
      </c>
      <c r="J92" s="55" t="s">
        <v>229</v>
      </c>
      <c r="K92" s="81" t="s">
        <v>230</v>
      </c>
    </row>
    <row r="93" spans="1:11" s="54" customFormat="1" ht="66.75" customHeight="1">
      <c r="A93" s="52">
        <v>7985563</v>
      </c>
      <c r="B93" s="52" t="s">
        <v>35</v>
      </c>
      <c r="C93" s="52" t="s">
        <v>240</v>
      </c>
      <c r="D93" s="52" t="s">
        <v>225</v>
      </c>
      <c r="E93"/>
      <c r="F93" s="55" t="s">
        <v>226</v>
      </c>
      <c r="G93" s="81" t="s">
        <v>70</v>
      </c>
      <c r="H93" s="81" t="s">
        <v>227</v>
      </c>
      <c r="I93" s="55" t="s">
        <v>228</v>
      </c>
      <c r="J93" s="55" t="s">
        <v>229</v>
      </c>
      <c r="K93" s="81" t="s">
        <v>230</v>
      </c>
    </row>
    <row r="94" spans="1:11" s="54" customFormat="1" ht="63.75" customHeight="1">
      <c r="A94" s="52">
        <v>7618263</v>
      </c>
      <c r="B94" s="52" t="s">
        <v>241</v>
      </c>
      <c r="C94" s="52" t="s">
        <v>242</v>
      </c>
      <c r="D94" s="52" t="s">
        <v>243</v>
      </c>
      <c r="E94"/>
      <c r="F94" s="55" t="s">
        <v>244</v>
      </c>
      <c r="G94" s="81" t="s">
        <v>70</v>
      </c>
      <c r="H94" s="55" t="s">
        <v>245</v>
      </c>
      <c r="I94" s="55" t="s">
        <v>246</v>
      </c>
      <c r="J94" s="55" t="s">
        <v>247</v>
      </c>
      <c r="K94" s="81" t="s">
        <v>248</v>
      </c>
    </row>
    <row r="95" spans="1:11" s="54" customFormat="1" ht="63.75" customHeight="1">
      <c r="A95" s="52">
        <v>6495750</v>
      </c>
      <c r="B95" s="52" t="s">
        <v>241</v>
      </c>
      <c r="C95" s="52" t="s">
        <v>242</v>
      </c>
      <c r="D95" s="52" t="s">
        <v>243</v>
      </c>
      <c r="E95"/>
      <c r="F95" s="55" t="s">
        <v>244</v>
      </c>
      <c r="G95" s="81" t="s">
        <v>70</v>
      </c>
      <c r="H95" s="55" t="s">
        <v>245</v>
      </c>
      <c r="I95" s="55" t="s">
        <v>246</v>
      </c>
      <c r="J95" s="55" t="s">
        <v>247</v>
      </c>
      <c r="K95" s="81" t="s">
        <v>248</v>
      </c>
    </row>
    <row r="96" spans="1:11" s="54" customFormat="1" ht="62.25" customHeight="1">
      <c r="A96" s="52">
        <v>4379651</v>
      </c>
      <c r="B96" s="52" t="s">
        <v>23</v>
      </c>
      <c r="C96" s="52" t="s">
        <v>249</v>
      </c>
      <c r="D96" s="52" t="s">
        <v>250</v>
      </c>
      <c r="E96"/>
      <c r="F96" s="55" t="s">
        <v>251</v>
      </c>
      <c r="G96" s="81" t="s">
        <v>70</v>
      </c>
      <c r="H96" s="81" t="s">
        <v>340</v>
      </c>
      <c r="I96" s="55" t="s">
        <v>341</v>
      </c>
      <c r="J96" s="55" t="s">
        <v>253</v>
      </c>
      <c r="K96" s="81" t="s">
        <v>254</v>
      </c>
    </row>
    <row r="97" spans="1:11" ht="12" customHeight="1">
      <c r="A97" s="5">
        <v>8526558</v>
      </c>
      <c r="B97" s="5" t="s">
        <v>23</v>
      </c>
      <c r="C97" s="5" t="s">
        <v>255</v>
      </c>
      <c r="D97" s="5" t="s">
        <v>256</v>
      </c>
      <c r="F97" s="7"/>
      <c r="G97" s="7"/>
      <c r="H97" s="7"/>
      <c r="I97" s="7"/>
      <c r="J97" s="7"/>
      <c r="K97" s="30" t="s">
        <v>257</v>
      </c>
    </row>
    <row r="98" spans="1:11" ht="12" customHeight="1">
      <c r="A98" s="5">
        <v>8526570</v>
      </c>
      <c r="B98" s="5" t="s">
        <v>23</v>
      </c>
      <c r="C98" s="5" t="s">
        <v>258</v>
      </c>
      <c r="D98" s="5" t="s">
        <v>256</v>
      </c>
      <c r="F98" s="7"/>
      <c r="G98" s="7"/>
      <c r="H98" s="7"/>
      <c r="I98" s="7"/>
      <c r="J98" s="7"/>
      <c r="K98" s="30" t="s">
        <v>259</v>
      </c>
    </row>
    <row r="99" spans="1:11" ht="40.5" customHeight="1">
      <c r="A99" s="13">
        <v>1452880</v>
      </c>
      <c r="B99" s="13" t="s">
        <v>260</v>
      </c>
      <c r="C99" s="13" t="s">
        <v>261</v>
      </c>
      <c r="D99" s="13" t="s">
        <v>256</v>
      </c>
      <c r="F99" s="31"/>
      <c r="G99" s="31"/>
      <c r="H99" s="31"/>
      <c r="I99" s="31"/>
      <c r="J99" s="31"/>
      <c r="K99" s="32" t="s">
        <v>262</v>
      </c>
    </row>
    <row r="100" spans="1:11" ht="14.25" customHeight="1">
      <c r="A100" s="5">
        <v>7790453</v>
      </c>
      <c r="B100" s="5" t="s">
        <v>23</v>
      </c>
      <c r="C100" s="5" t="s">
        <v>263</v>
      </c>
      <c r="D100" s="5" t="s">
        <v>264</v>
      </c>
      <c r="F100" s="7"/>
      <c r="G100" s="7"/>
      <c r="H100" s="7"/>
      <c r="I100" s="7"/>
      <c r="J100" s="7"/>
      <c r="K100" s="30" t="s">
        <v>257</v>
      </c>
    </row>
    <row r="101" spans="1:11" ht="50.25" customHeight="1">
      <c r="A101" s="13">
        <v>1452790</v>
      </c>
      <c r="B101" s="13" t="s">
        <v>265</v>
      </c>
      <c r="C101" s="13" t="s">
        <v>263</v>
      </c>
      <c r="D101" s="13" t="s">
        <v>264</v>
      </c>
      <c r="F101" s="31"/>
      <c r="G101" s="31"/>
      <c r="H101" s="31"/>
      <c r="I101" s="31"/>
      <c r="J101" s="31"/>
      <c r="K101" s="32" t="s">
        <v>262</v>
      </c>
    </row>
    <row r="102" spans="1:11" ht="12" customHeight="1">
      <c r="A102" s="5">
        <v>9116664</v>
      </c>
      <c r="B102" s="5" t="s">
        <v>266</v>
      </c>
      <c r="C102" s="5" t="s">
        <v>263</v>
      </c>
      <c r="D102" s="5" t="s">
        <v>264</v>
      </c>
      <c r="F102" s="7"/>
      <c r="G102" s="7"/>
      <c r="H102" s="7"/>
      <c r="I102" s="7"/>
      <c r="J102" s="7"/>
      <c r="K102" s="30" t="s">
        <v>267</v>
      </c>
    </row>
    <row r="103" spans="1:11" ht="43.5" customHeight="1">
      <c r="A103" s="13">
        <v>1452814</v>
      </c>
      <c r="B103" s="13" t="s">
        <v>268</v>
      </c>
      <c r="C103" s="13" t="s">
        <v>269</v>
      </c>
      <c r="D103" s="16" t="s">
        <v>270</v>
      </c>
      <c r="F103" s="31"/>
      <c r="G103" s="31"/>
      <c r="H103" s="31"/>
      <c r="I103" s="31"/>
      <c r="J103" s="31"/>
      <c r="K103" s="32" t="s">
        <v>262</v>
      </c>
    </row>
    <row r="104" spans="1:11" ht="12" customHeight="1">
      <c r="A104" s="5">
        <v>7790425</v>
      </c>
      <c r="B104" s="5" t="s">
        <v>55</v>
      </c>
      <c r="C104" s="5" t="s">
        <v>269</v>
      </c>
      <c r="D104" s="5" t="s">
        <v>270</v>
      </c>
      <c r="F104" s="7"/>
      <c r="G104" s="7"/>
      <c r="H104" s="7"/>
      <c r="I104" s="7"/>
      <c r="J104" s="7"/>
      <c r="K104" s="7" t="s">
        <v>12</v>
      </c>
    </row>
    <row r="105" spans="1:11" ht="12" customHeight="1">
      <c r="A105" s="5">
        <v>9115787</v>
      </c>
      <c r="B105" s="5" t="s">
        <v>271</v>
      </c>
      <c r="C105" s="5" t="s">
        <v>269</v>
      </c>
      <c r="D105" s="5" t="s">
        <v>270</v>
      </c>
      <c r="F105" s="7"/>
      <c r="G105" s="7"/>
      <c r="H105" s="7"/>
      <c r="I105" s="7"/>
      <c r="J105" s="7"/>
      <c r="K105" s="7" t="s">
        <v>272</v>
      </c>
    </row>
    <row r="106" spans="1:11" ht="12" customHeight="1">
      <c r="A106" s="5">
        <v>3844252</v>
      </c>
      <c r="B106" s="5" t="s">
        <v>273</v>
      </c>
      <c r="C106" s="5" t="s">
        <v>274</v>
      </c>
      <c r="D106" s="5" t="s">
        <v>275</v>
      </c>
      <c r="F106" s="7"/>
      <c r="G106" s="7"/>
      <c r="H106" s="7"/>
      <c r="I106" s="7"/>
      <c r="J106" s="7"/>
      <c r="K106" s="7" t="s">
        <v>276</v>
      </c>
    </row>
    <row r="107" spans="1:11" ht="12" customHeight="1">
      <c r="A107" s="5">
        <v>8880814</v>
      </c>
      <c r="B107" s="5" t="s">
        <v>178</v>
      </c>
      <c r="C107" s="5" t="s">
        <v>277</v>
      </c>
      <c r="D107" s="5" t="s">
        <v>275</v>
      </c>
      <c r="F107" s="7"/>
      <c r="G107" s="7"/>
      <c r="H107" s="7"/>
      <c r="I107" s="7"/>
      <c r="J107" s="7"/>
      <c r="K107" s="7" t="s">
        <v>12</v>
      </c>
    </row>
    <row r="108" spans="1:11" ht="61.5" customHeight="1">
      <c r="A108" s="22">
        <v>4814164</v>
      </c>
      <c r="B108" s="13" t="s">
        <v>35</v>
      </c>
      <c r="C108" s="13" t="s">
        <v>278</v>
      </c>
      <c r="D108" s="13" t="s">
        <v>377</v>
      </c>
      <c r="F108" s="14" t="s">
        <v>280</v>
      </c>
      <c r="G108" s="19" t="s">
        <v>70</v>
      </c>
      <c r="H108" s="14" t="s">
        <v>281</v>
      </c>
      <c r="I108" s="14" t="s">
        <v>282</v>
      </c>
      <c r="J108" s="18"/>
      <c r="K108" s="14" t="s">
        <v>104</v>
      </c>
    </row>
    <row r="109" spans="1:11" ht="39.75" customHeight="1">
      <c r="A109" s="22">
        <v>402415</v>
      </c>
      <c r="B109" s="22" t="s">
        <v>23</v>
      </c>
      <c r="C109" s="22" t="s">
        <v>278</v>
      </c>
      <c r="D109" s="85" t="s">
        <v>82</v>
      </c>
      <c r="F109" s="23"/>
      <c r="G109" s="23"/>
      <c r="H109" s="23"/>
      <c r="I109" s="19" t="s">
        <v>282</v>
      </c>
      <c r="J109" s="19"/>
      <c r="K109" s="33"/>
    </row>
    <row r="110" spans="1:11" ht="44.25" customHeight="1">
      <c r="A110" s="22">
        <v>402576</v>
      </c>
      <c r="B110" s="22" t="s">
        <v>23</v>
      </c>
      <c r="C110" s="22" t="s">
        <v>278</v>
      </c>
      <c r="D110" s="85" t="s">
        <v>82</v>
      </c>
      <c r="F110" s="23"/>
      <c r="G110" s="23"/>
      <c r="H110" s="23"/>
      <c r="I110" s="19" t="s">
        <v>283</v>
      </c>
      <c r="J110" s="23"/>
      <c r="K110" s="23"/>
    </row>
    <row r="111" spans="1:11" ht="12" customHeight="1">
      <c r="A111" s="34">
        <v>1780630</v>
      </c>
      <c r="B111" s="34" t="s">
        <v>449</v>
      </c>
      <c r="C111" s="34" t="s">
        <v>449</v>
      </c>
      <c r="D111" s="85" t="s">
        <v>82</v>
      </c>
    </row>
    <row r="112" spans="1:11" ht="12" customHeight="1">
      <c r="A112" s="11">
        <v>1676512</v>
      </c>
      <c r="B112" s="11" t="s">
        <v>23</v>
      </c>
      <c r="C112" s="11" t="s">
        <v>278</v>
      </c>
      <c r="D112" s="22" t="s">
        <v>377</v>
      </c>
    </row>
    <row r="113" spans="1:11" ht="12" customHeight="1">
      <c r="A113" s="11">
        <v>2664495</v>
      </c>
      <c r="B113" s="11" t="s">
        <v>35</v>
      </c>
      <c r="C113" s="11" t="s">
        <v>278</v>
      </c>
      <c r="D113" s="11"/>
    </row>
    <row r="114" spans="1:11" ht="12" customHeight="1">
      <c r="A114" s="34">
        <v>4989174</v>
      </c>
      <c r="B114" s="34" t="s">
        <v>34</v>
      </c>
      <c r="C114" s="34" t="s">
        <v>284</v>
      </c>
      <c r="D114" s="34"/>
    </row>
    <row r="115" spans="1:11" ht="12" customHeight="1">
      <c r="A115" s="34">
        <v>5051160</v>
      </c>
      <c r="B115" s="34" t="s">
        <v>34</v>
      </c>
      <c r="C115" s="34" t="s">
        <v>284</v>
      </c>
      <c r="D115" s="34"/>
    </row>
    <row r="116" spans="1:11" ht="12" customHeight="1">
      <c r="A116" s="34">
        <v>5442164</v>
      </c>
      <c r="B116" s="34" t="s">
        <v>285</v>
      </c>
      <c r="C116" s="34" t="s">
        <v>284</v>
      </c>
      <c r="D116" s="34"/>
    </row>
    <row r="117" spans="1:11" ht="12" customHeight="1">
      <c r="A117" s="34">
        <v>5468620</v>
      </c>
      <c r="B117" s="34" t="s">
        <v>23</v>
      </c>
      <c r="C117" s="34" t="s">
        <v>284</v>
      </c>
      <c r="D117" s="34"/>
    </row>
    <row r="118" spans="1:11" ht="12" customHeight="1">
      <c r="A118" s="34">
        <v>6689720</v>
      </c>
      <c r="B118" s="34" t="s">
        <v>23</v>
      </c>
      <c r="C118" s="34" t="s">
        <v>284</v>
      </c>
      <c r="D118" s="34"/>
    </row>
    <row r="119" spans="1:11" ht="12" customHeight="1">
      <c r="A119" s="34">
        <v>7549561</v>
      </c>
      <c r="B119" s="34" t="s">
        <v>23</v>
      </c>
      <c r="C119" s="34" t="s">
        <v>284</v>
      </c>
      <c r="D119" s="34"/>
    </row>
    <row r="120" spans="1:11" ht="43.5" customHeight="1">
      <c r="A120" s="22">
        <v>1096172</v>
      </c>
      <c r="B120" s="22" t="s">
        <v>23</v>
      </c>
      <c r="C120" s="22" t="s">
        <v>286</v>
      </c>
      <c r="D120" s="85" t="s">
        <v>82</v>
      </c>
      <c r="F120" s="23"/>
      <c r="G120" s="23"/>
      <c r="H120" s="23"/>
      <c r="I120" s="19" t="s">
        <v>287</v>
      </c>
      <c r="J120" s="23"/>
      <c r="K120" s="23"/>
    </row>
    <row r="121" spans="1:11" ht="40.5" customHeight="1">
      <c r="A121" s="22">
        <v>2134218</v>
      </c>
      <c r="B121" s="22" t="s">
        <v>288</v>
      </c>
      <c r="C121" s="22" t="s">
        <v>289</v>
      </c>
      <c r="D121" s="22"/>
      <c r="F121" s="23"/>
      <c r="G121" s="23"/>
      <c r="H121" s="23"/>
      <c r="I121" s="19" t="s">
        <v>290</v>
      </c>
      <c r="J121" s="23"/>
      <c r="K121" s="23"/>
    </row>
    <row r="122" spans="1:11" ht="44.25" customHeight="1">
      <c r="A122" s="22">
        <v>2770266</v>
      </c>
      <c r="B122" s="22" t="s">
        <v>35</v>
      </c>
      <c r="C122" s="22" t="s">
        <v>291</v>
      </c>
      <c r="D122" s="22" t="s">
        <v>279</v>
      </c>
      <c r="F122" s="23"/>
      <c r="G122" s="23"/>
      <c r="H122" s="23"/>
      <c r="I122" s="19" t="s">
        <v>290</v>
      </c>
      <c r="J122" s="23"/>
      <c r="K122" s="23" t="s">
        <v>292</v>
      </c>
    </row>
    <row r="123" spans="1:11" ht="40.5" customHeight="1">
      <c r="A123" s="22">
        <v>4236654</v>
      </c>
      <c r="B123" s="22" t="s">
        <v>35</v>
      </c>
      <c r="C123" s="22" t="s">
        <v>291</v>
      </c>
      <c r="D123" s="22" t="s">
        <v>279</v>
      </c>
      <c r="F123" s="23"/>
      <c r="G123" s="23"/>
      <c r="H123" s="23"/>
      <c r="I123" s="19" t="s">
        <v>290</v>
      </c>
      <c r="J123" s="23"/>
      <c r="K123" s="23" t="s">
        <v>292</v>
      </c>
    </row>
    <row r="124" spans="1:11" ht="12" customHeight="1">
      <c r="A124" s="34">
        <v>479125</v>
      </c>
      <c r="B124" s="34" t="s">
        <v>23</v>
      </c>
      <c r="C124" s="34" t="s">
        <v>284</v>
      </c>
      <c r="D124" s="34"/>
    </row>
    <row r="125" spans="1:11" ht="12" customHeight="1">
      <c r="A125" s="11">
        <v>5582266</v>
      </c>
      <c r="B125" s="11" t="s">
        <v>35</v>
      </c>
      <c r="C125" s="11" t="s">
        <v>289</v>
      </c>
      <c r="D125" s="85" t="s">
        <v>82</v>
      </c>
      <c r="I125" s="19" t="s">
        <v>287</v>
      </c>
    </row>
    <row r="126" spans="1:11" ht="12" customHeight="1">
      <c r="A126" s="34">
        <v>5843533</v>
      </c>
      <c r="B126" s="34" t="s">
        <v>293</v>
      </c>
      <c r="C126" s="34" t="s">
        <v>284</v>
      </c>
      <c r="D126" s="34"/>
    </row>
    <row r="127" spans="1:11" ht="16.5" customHeight="1">
      <c r="A127" s="22">
        <v>1097643</v>
      </c>
      <c r="B127" s="22" t="s">
        <v>23</v>
      </c>
      <c r="C127" s="22" t="s">
        <v>294</v>
      </c>
      <c r="D127" s="85" t="s">
        <v>82</v>
      </c>
      <c r="F127" s="23"/>
      <c r="G127" s="23"/>
      <c r="H127" s="23"/>
      <c r="I127" s="19" t="s">
        <v>287</v>
      </c>
      <c r="J127" s="23"/>
      <c r="K127" s="23" t="s">
        <v>295</v>
      </c>
    </row>
    <row r="128" spans="1:11" ht="18.75" customHeight="1">
      <c r="A128" s="5">
        <v>7431920</v>
      </c>
      <c r="B128" s="5" t="s">
        <v>23</v>
      </c>
      <c r="C128" s="5" t="s">
        <v>284</v>
      </c>
      <c r="D128" s="5"/>
      <c r="F128" s="35"/>
      <c r="G128" s="35"/>
      <c r="H128" s="35"/>
      <c r="I128" s="35"/>
      <c r="J128" s="35"/>
      <c r="K128" s="35" t="s">
        <v>272</v>
      </c>
    </row>
    <row r="129" spans="1:11">
      <c r="A129" s="223">
        <v>6582763</v>
      </c>
      <c r="B129" s="11" t="s">
        <v>35</v>
      </c>
      <c r="C129" s="11" t="s">
        <v>289</v>
      </c>
      <c r="D129" s="85" t="s">
        <v>82</v>
      </c>
      <c r="I129" s="19" t="s">
        <v>287</v>
      </c>
    </row>
    <row r="130" spans="1:11" ht="48">
      <c r="A130" s="36">
        <v>871345</v>
      </c>
      <c r="B130" s="36" t="s">
        <v>713</v>
      </c>
      <c r="D130" s="53" t="s">
        <v>225</v>
      </c>
      <c r="E130" s="81" t="s">
        <v>233</v>
      </c>
      <c r="F130" s="81" t="s">
        <v>70</v>
      </c>
      <c r="G130" s="55" t="s">
        <v>234</v>
      </c>
      <c r="H130" s="55" t="s">
        <v>235</v>
      </c>
      <c r="I130" s="55" t="s">
        <v>229</v>
      </c>
      <c r="J130" s="81" t="s">
        <v>230</v>
      </c>
    </row>
    <row r="131" spans="1:11" ht="23.25" customHeight="1">
      <c r="A131" s="36">
        <v>1453041</v>
      </c>
      <c r="D131" s="53" t="s">
        <v>225</v>
      </c>
      <c r="E131" s="55" t="s">
        <v>233</v>
      </c>
      <c r="F131" s="81" t="s">
        <v>70</v>
      </c>
      <c r="G131" s="81" t="s">
        <v>234</v>
      </c>
      <c r="H131" s="55" t="s">
        <v>235</v>
      </c>
      <c r="I131" s="55" t="s">
        <v>229</v>
      </c>
      <c r="J131" s="81" t="s">
        <v>230</v>
      </c>
    </row>
    <row r="132" spans="1:11">
      <c r="A132" s="36">
        <v>7341852</v>
      </c>
      <c r="D132" s="53" t="s">
        <v>225</v>
      </c>
    </row>
    <row r="133" spans="1:11">
      <c r="A133" s="36">
        <v>9653962</v>
      </c>
      <c r="D133" s="85" t="s">
        <v>82</v>
      </c>
    </row>
    <row r="134" spans="1:11">
      <c r="A134" s="36">
        <v>2389734</v>
      </c>
      <c r="D134" s="85" t="s">
        <v>82</v>
      </c>
    </row>
    <row r="135" spans="1:11">
      <c r="A135" s="36">
        <v>7485529</v>
      </c>
      <c r="D135" s="52" t="s">
        <v>243</v>
      </c>
    </row>
    <row r="136" spans="1:11">
      <c r="A136" s="36">
        <v>9090383</v>
      </c>
      <c r="D136" s="52" t="s">
        <v>243</v>
      </c>
    </row>
    <row r="137" spans="1:11">
      <c r="A137" s="36">
        <v>2770266</v>
      </c>
      <c r="D137" s="22" t="s">
        <v>377</v>
      </c>
    </row>
    <row r="138" spans="1:11">
      <c r="A138" s="36">
        <v>1397233</v>
      </c>
      <c r="D138" s="85" t="s">
        <v>82</v>
      </c>
    </row>
    <row r="139" spans="1:11">
      <c r="A139" s="36">
        <v>6924637</v>
      </c>
      <c r="D139" s="53" t="s">
        <v>225</v>
      </c>
    </row>
    <row r="140" spans="1:11">
      <c r="A140" s="11">
        <v>2770266</v>
      </c>
      <c r="B140" s="11" t="s">
        <v>23</v>
      </c>
      <c r="C140" s="11" t="s">
        <v>278</v>
      </c>
      <c r="D140" s="22" t="s">
        <v>377</v>
      </c>
    </row>
    <row r="141" spans="1:11" ht="38.4">
      <c r="A141" s="99">
        <v>2781902</v>
      </c>
      <c r="B141" s="99" t="s">
        <v>23</v>
      </c>
      <c r="C141" s="99" t="s">
        <v>632</v>
      </c>
      <c r="D141" s="85" t="s">
        <v>82</v>
      </c>
      <c r="F141" s="101" t="s">
        <v>114</v>
      </c>
      <c r="G141" s="110" t="s">
        <v>70</v>
      </c>
      <c r="H141" s="103" t="s">
        <v>100</v>
      </c>
      <c r="I141" s="108" t="s">
        <v>89</v>
      </c>
      <c r="J141" s="116" t="s">
        <v>85</v>
      </c>
      <c r="K141" s="103" t="s">
        <v>104</v>
      </c>
    </row>
    <row r="142" spans="1:11">
      <c r="A142" s="289">
        <v>2781902</v>
      </c>
      <c r="B142" s="11" t="s">
        <v>633</v>
      </c>
      <c r="C142" s="11" t="s">
        <v>289</v>
      </c>
      <c r="D142" s="85" t="s">
        <v>82</v>
      </c>
      <c r="I142" s="19" t="s">
        <v>287</v>
      </c>
    </row>
    <row r="143" spans="1:11">
      <c r="A143" s="289">
        <v>5358508</v>
      </c>
      <c r="B143" s="11" t="s">
        <v>633</v>
      </c>
      <c r="C143" s="11" t="s">
        <v>289</v>
      </c>
      <c r="D143" s="85" t="s">
        <v>82</v>
      </c>
      <c r="I143" s="19" t="s">
        <v>287</v>
      </c>
    </row>
    <row r="144" spans="1:11" ht="38.4">
      <c r="A144" s="52">
        <v>1452971</v>
      </c>
      <c r="B144" s="52" t="s">
        <v>164</v>
      </c>
      <c r="C144" s="52" t="s">
        <v>165</v>
      </c>
      <c r="D144" s="53" t="s">
        <v>149</v>
      </c>
      <c r="F144" s="55" t="s">
        <v>150</v>
      </c>
      <c r="G144" s="55" t="s">
        <v>151</v>
      </c>
      <c r="H144" s="55" t="s">
        <v>152</v>
      </c>
      <c r="I144" s="55" t="s">
        <v>153</v>
      </c>
      <c r="J144" s="55" t="s">
        <v>154</v>
      </c>
      <c r="K144" s="55" t="s">
        <v>155</v>
      </c>
    </row>
    <row r="145" spans="1:11" s="106" customFormat="1" ht="53.25" customHeight="1">
      <c r="A145" s="99">
        <v>1452832</v>
      </c>
      <c r="B145" s="99" t="s">
        <v>35</v>
      </c>
      <c r="C145" s="99" t="s">
        <v>640</v>
      </c>
      <c r="D145" s="85" t="s">
        <v>82</v>
      </c>
      <c r="E145"/>
      <c r="F145" s="117" t="s">
        <v>114</v>
      </c>
      <c r="G145" s="110" t="s">
        <v>70</v>
      </c>
      <c r="H145" s="103" t="s">
        <v>119</v>
      </c>
      <c r="I145" s="108" t="s">
        <v>89</v>
      </c>
      <c r="J145" s="116" t="s">
        <v>85</v>
      </c>
      <c r="K145" s="103" t="s">
        <v>104</v>
      </c>
    </row>
    <row r="146" spans="1:11" s="106" customFormat="1" ht="53.25" customHeight="1">
      <c r="A146" s="99">
        <v>2031511</v>
      </c>
      <c r="B146" s="99" t="s">
        <v>35</v>
      </c>
      <c r="C146" s="99" t="s">
        <v>641</v>
      </c>
      <c r="D146" s="85" t="s">
        <v>82</v>
      </c>
      <c r="E146"/>
      <c r="F146" s="117" t="s">
        <v>114</v>
      </c>
      <c r="G146" s="110" t="s">
        <v>70</v>
      </c>
      <c r="H146" s="103" t="s">
        <v>119</v>
      </c>
      <c r="I146" s="108" t="s">
        <v>89</v>
      </c>
      <c r="J146" s="116" t="s">
        <v>85</v>
      </c>
      <c r="K146" s="103" t="s">
        <v>104</v>
      </c>
    </row>
    <row r="147" spans="1:11" ht="48">
      <c r="A147" s="52">
        <v>6924637</v>
      </c>
      <c r="B147" s="52" t="s">
        <v>169</v>
      </c>
      <c r="C147" s="52" t="s">
        <v>651</v>
      </c>
      <c r="D147" s="52" t="s">
        <v>225</v>
      </c>
      <c r="F147" s="55" t="s">
        <v>233</v>
      </c>
      <c r="G147" s="81" t="s">
        <v>70</v>
      </c>
      <c r="H147" s="81" t="s">
        <v>227</v>
      </c>
      <c r="I147" s="55" t="s">
        <v>235</v>
      </c>
      <c r="J147" s="55" t="s">
        <v>229</v>
      </c>
      <c r="K147" s="81" t="s">
        <v>230</v>
      </c>
    </row>
    <row r="148" spans="1:11">
      <c r="A148" s="36">
        <v>1453037</v>
      </c>
      <c r="B148" s="36" t="s">
        <v>689</v>
      </c>
      <c r="D148" s="37" t="s">
        <v>690</v>
      </c>
      <c r="F148" t="s">
        <v>691</v>
      </c>
      <c r="G148" t="s">
        <v>70</v>
      </c>
      <c r="H148" t="s">
        <v>692</v>
      </c>
      <c r="I148" s="296">
        <v>0.1673611111111111</v>
      </c>
      <c r="J148" t="s">
        <v>693</v>
      </c>
      <c r="K148" t="s">
        <v>694</v>
      </c>
    </row>
    <row r="149" spans="1:11">
      <c r="A149" s="99"/>
      <c r="B149" s="99"/>
      <c r="C149" s="99"/>
      <c r="D149" s="85"/>
      <c r="F149" s="101"/>
      <c r="G149" s="110"/>
      <c r="H149" s="103"/>
      <c r="I149" s="108"/>
      <c r="J149" s="116"/>
      <c r="K149" s="103"/>
    </row>
  </sheetData>
  <autoFilter ref="A2:D148" xr:uid="{00000000-0009-0000-0000-000000000000}">
    <sortState xmlns:xlrd2="http://schemas.microsoft.com/office/spreadsheetml/2017/richdata2" ref="A3:D138">
      <sortCondition ref="D2"/>
    </sortState>
  </autoFilter>
  <mergeCells count="1">
    <mergeCell ref="A1:D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3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T22"/>
  <sheetViews>
    <sheetView topLeftCell="A7" workbookViewId="0">
      <selection activeCell="K20" sqref="K20:L20"/>
    </sheetView>
  </sheetViews>
  <sheetFormatPr defaultRowHeight="14.4"/>
  <sheetData>
    <row r="2" spans="1:20" ht="17.25" customHeight="1">
      <c r="A2" s="403" t="s">
        <v>459</v>
      </c>
      <c r="B2" s="404"/>
      <c r="C2" s="405" t="s">
        <v>605</v>
      </c>
      <c r="D2" s="406"/>
      <c r="E2" s="403" t="s">
        <v>459</v>
      </c>
      <c r="F2" s="404"/>
      <c r="G2" s="405" t="s">
        <v>605</v>
      </c>
      <c r="H2" s="406"/>
      <c r="I2" s="403" t="s">
        <v>459</v>
      </c>
      <c r="J2" s="404"/>
      <c r="K2" s="405" t="s">
        <v>605</v>
      </c>
      <c r="L2" s="406"/>
      <c r="M2" s="403" t="s">
        <v>459</v>
      </c>
      <c r="N2" s="404"/>
      <c r="O2" s="405" t="s">
        <v>605</v>
      </c>
      <c r="P2" s="406"/>
      <c r="Q2" s="403" t="s">
        <v>459</v>
      </c>
      <c r="R2" s="404"/>
      <c r="S2" s="405" t="s">
        <v>605</v>
      </c>
      <c r="T2" s="406"/>
    </row>
    <row r="3" spans="1:20">
      <c r="A3" s="393">
        <v>1452803</v>
      </c>
      <c r="B3" s="394"/>
      <c r="C3" s="395">
        <v>44160</v>
      </c>
      <c r="D3" s="396"/>
      <c r="E3" s="391" t="s">
        <v>278</v>
      </c>
      <c r="F3" s="392"/>
      <c r="G3" s="402" t="s">
        <v>278</v>
      </c>
      <c r="H3" s="401"/>
      <c r="I3" s="393">
        <v>8358715</v>
      </c>
      <c r="J3" s="394"/>
      <c r="K3" s="397">
        <v>44115</v>
      </c>
      <c r="L3" s="398"/>
      <c r="M3" s="393">
        <v>1452815</v>
      </c>
      <c r="N3" s="394"/>
      <c r="O3" s="395">
        <v>44249</v>
      </c>
      <c r="P3" s="401"/>
      <c r="Q3" s="391">
        <v>1453037</v>
      </c>
      <c r="R3" s="392"/>
      <c r="S3" s="395">
        <v>44060</v>
      </c>
      <c r="T3" s="396"/>
    </row>
    <row r="4" spans="1:20">
      <c r="A4" s="393">
        <v>7342612</v>
      </c>
      <c r="B4" s="394"/>
      <c r="C4" s="395" t="s">
        <v>278</v>
      </c>
      <c r="D4" s="396"/>
      <c r="E4" s="393">
        <v>1453152</v>
      </c>
      <c r="F4" s="394"/>
      <c r="G4" s="395">
        <v>44427</v>
      </c>
      <c r="H4" s="396"/>
      <c r="I4" s="393">
        <v>117980</v>
      </c>
      <c r="J4" s="394"/>
      <c r="K4" s="399">
        <v>44049</v>
      </c>
      <c r="L4" s="400"/>
      <c r="M4" s="393">
        <v>2770266</v>
      </c>
      <c r="N4" s="394"/>
      <c r="O4" s="395" t="s">
        <v>278</v>
      </c>
      <c r="P4" s="396"/>
      <c r="Q4" s="393">
        <v>7985563</v>
      </c>
      <c r="R4" s="394"/>
      <c r="S4" s="409" t="s">
        <v>278</v>
      </c>
      <c r="T4" s="410"/>
    </row>
    <row r="5" spans="1:20">
      <c r="A5" s="393">
        <v>1452923</v>
      </c>
      <c r="B5" s="394"/>
      <c r="C5" s="395" t="s">
        <v>278</v>
      </c>
      <c r="D5" s="396"/>
      <c r="E5" s="391" t="s">
        <v>369</v>
      </c>
      <c r="F5" s="392"/>
      <c r="G5" s="402" t="s">
        <v>278</v>
      </c>
      <c r="H5" s="401"/>
      <c r="I5" s="393">
        <v>6572286</v>
      </c>
      <c r="J5" s="394"/>
      <c r="K5" s="395">
        <v>44063</v>
      </c>
      <c r="L5" s="401"/>
      <c r="M5" s="391">
        <v>6495750</v>
      </c>
      <c r="N5" s="392"/>
      <c r="O5" s="395" t="s">
        <v>278</v>
      </c>
      <c r="P5" s="401"/>
      <c r="Q5" s="391">
        <v>4878330</v>
      </c>
      <c r="R5" s="392"/>
      <c r="S5" s="409" t="s">
        <v>278</v>
      </c>
      <c r="T5" s="410"/>
    </row>
    <row r="6" spans="1:20">
      <c r="A6" s="393">
        <v>8073971</v>
      </c>
      <c r="B6" s="394"/>
      <c r="C6" s="395">
        <v>44714</v>
      </c>
      <c r="D6" s="396"/>
      <c r="E6" s="391" t="s">
        <v>369</v>
      </c>
      <c r="F6" s="392"/>
      <c r="G6" s="402" t="s">
        <v>278</v>
      </c>
      <c r="H6" s="401"/>
      <c r="I6" s="393">
        <v>116897</v>
      </c>
      <c r="J6" s="394"/>
      <c r="K6" s="395">
        <v>44063</v>
      </c>
      <c r="L6" s="396"/>
      <c r="M6" s="393">
        <v>1453043</v>
      </c>
      <c r="N6" s="394"/>
      <c r="O6" s="397">
        <v>44390</v>
      </c>
      <c r="P6" s="398"/>
      <c r="Q6" s="391" t="s">
        <v>278</v>
      </c>
      <c r="R6" s="392"/>
      <c r="S6" s="409" t="s">
        <v>278</v>
      </c>
      <c r="T6" s="410"/>
    </row>
    <row r="7" spans="1:20">
      <c r="A7" s="393">
        <v>1453313</v>
      </c>
      <c r="B7" s="394"/>
      <c r="C7" s="395">
        <v>44060</v>
      </c>
      <c r="D7" s="396"/>
      <c r="E7" s="393">
        <v>91721</v>
      </c>
      <c r="F7" s="394"/>
      <c r="G7" s="395">
        <v>44239</v>
      </c>
      <c r="H7" s="396"/>
      <c r="I7" s="393">
        <v>1452967</v>
      </c>
      <c r="J7" s="394"/>
      <c r="K7" s="395">
        <v>44580</v>
      </c>
      <c r="L7" s="396"/>
      <c r="M7" s="393">
        <v>4379306</v>
      </c>
      <c r="N7" s="394"/>
      <c r="O7" s="395" t="s">
        <v>278</v>
      </c>
      <c r="P7" s="396"/>
      <c r="Q7" s="393">
        <v>7985563</v>
      </c>
      <c r="R7" s="394"/>
      <c r="S7" s="395">
        <v>44098</v>
      </c>
      <c r="T7" s="401"/>
    </row>
    <row r="8" spans="1:20">
      <c r="A8" s="393">
        <v>1452806</v>
      </c>
      <c r="B8" s="394"/>
      <c r="C8" s="395">
        <v>44064</v>
      </c>
      <c r="D8" s="396"/>
      <c r="E8" s="391" t="s">
        <v>369</v>
      </c>
      <c r="F8" s="392"/>
      <c r="G8" s="402" t="s">
        <v>278</v>
      </c>
      <c r="H8" s="401"/>
      <c r="I8" s="393">
        <v>1455401</v>
      </c>
      <c r="J8" s="394"/>
      <c r="K8" s="395" t="s">
        <v>278</v>
      </c>
      <c r="L8" s="396"/>
      <c r="M8" s="393">
        <v>4379651</v>
      </c>
      <c r="N8" s="394"/>
      <c r="O8" s="395" t="s">
        <v>278</v>
      </c>
      <c r="P8" s="396"/>
      <c r="Q8" s="391" t="s">
        <v>278</v>
      </c>
      <c r="R8" s="392"/>
      <c r="S8" s="402" t="s">
        <v>278</v>
      </c>
      <c r="T8" s="401"/>
    </row>
    <row r="9" spans="1:20">
      <c r="A9" s="393">
        <v>1452809</v>
      </c>
      <c r="B9" s="394"/>
      <c r="C9" s="395">
        <v>44044</v>
      </c>
      <c r="D9" s="396"/>
      <c r="E9" s="391" t="s">
        <v>369</v>
      </c>
      <c r="F9" s="392"/>
      <c r="G9" s="402" t="s">
        <v>278</v>
      </c>
      <c r="H9" s="401"/>
      <c r="I9" s="393">
        <v>1452987</v>
      </c>
      <c r="J9" s="394"/>
      <c r="K9" s="395">
        <v>44062</v>
      </c>
      <c r="L9" s="401"/>
      <c r="M9" s="393">
        <v>1452750</v>
      </c>
      <c r="N9" s="394"/>
      <c r="O9" s="395" t="s">
        <v>278</v>
      </c>
      <c r="P9" s="396"/>
      <c r="Q9" s="391" t="s">
        <v>278</v>
      </c>
      <c r="R9" s="392"/>
      <c r="S9" s="402" t="s">
        <v>278</v>
      </c>
      <c r="T9" s="401"/>
    </row>
    <row r="10" spans="1:20">
      <c r="A10" s="393">
        <v>636553</v>
      </c>
      <c r="B10" s="394"/>
      <c r="C10" s="397">
        <v>44256</v>
      </c>
      <c r="D10" s="398"/>
      <c r="E10" s="393">
        <v>1452745</v>
      </c>
      <c r="F10" s="394"/>
      <c r="G10" s="395">
        <v>44412</v>
      </c>
      <c r="H10" s="396"/>
      <c r="I10" s="391">
        <v>1452971</v>
      </c>
      <c r="J10" s="392"/>
      <c r="K10" s="395" t="s">
        <v>278</v>
      </c>
      <c r="L10" s="401"/>
      <c r="M10" s="391">
        <v>9653962</v>
      </c>
      <c r="N10" s="392"/>
      <c r="O10" s="395">
        <v>44244</v>
      </c>
      <c r="P10" s="401"/>
      <c r="Q10" s="402"/>
      <c r="R10" s="401"/>
      <c r="S10" s="402"/>
      <c r="T10" s="401"/>
    </row>
    <row r="11" spans="1:20">
      <c r="A11" s="391">
        <v>8073898</v>
      </c>
      <c r="B11" s="392"/>
      <c r="C11" s="395" t="s">
        <v>278</v>
      </c>
      <c r="D11" s="401"/>
      <c r="E11" s="391" t="s">
        <v>369</v>
      </c>
      <c r="F11" s="392"/>
      <c r="G11" s="402" t="s">
        <v>369</v>
      </c>
      <c r="H11" s="401"/>
      <c r="I11" s="393">
        <v>1452969</v>
      </c>
      <c r="J11" s="394"/>
      <c r="K11" s="395">
        <v>44215</v>
      </c>
      <c r="L11" s="396"/>
      <c r="M11" s="391" t="s">
        <v>278</v>
      </c>
      <c r="N11" s="392"/>
      <c r="O11" s="402" t="s">
        <v>278</v>
      </c>
      <c r="P11" s="401"/>
      <c r="Q11" s="402"/>
      <c r="R11" s="401"/>
      <c r="S11" s="402"/>
      <c r="T11" s="401"/>
    </row>
    <row r="12" spans="1:20">
      <c r="A12" s="393">
        <v>1453485</v>
      </c>
      <c r="B12" s="394"/>
      <c r="C12" s="395">
        <v>44220</v>
      </c>
      <c r="D12" s="396"/>
      <c r="E12" s="391" t="s">
        <v>369</v>
      </c>
      <c r="F12" s="392"/>
      <c r="G12" s="402" t="s">
        <v>369</v>
      </c>
      <c r="H12" s="401"/>
      <c r="I12" s="393">
        <v>1454330</v>
      </c>
      <c r="J12" s="394"/>
      <c r="K12" s="395">
        <v>44090</v>
      </c>
      <c r="L12" s="401"/>
      <c r="M12" s="393">
        <v>1780630</v>
      </c>
      <c r="N12" s="394"/>
      <c r="O12" s="395">
        <v>44274</v>
      </c>
      <c r="P12" s="396"/>
      <c r="Q12" s="402"/>
      <c r="R12" s="401"/>
      <c r="S12" s="402"/>
      <c r="T12" s="401"/>
    </row>
    <row r="13" spans="1:20">
      <c r="A13" s="393">
        <v>429301</v>
      </c>
      <c r="B13" s="394"/>
      <c r="C13" s="395" t="s">
        <v>278</v>
      </c>
      <c r="D13" s="396"/>
      <c r="E13" s="393">
        <v>1453150</v>
      </c>
      <c r="F13" s="394"/>
      <c r="G13" s="395">
        <v>44093</v>
      </c>
      <c r="H13" s="396"/>
      <c r="I13" s="393">
        <v>1452801</v>
      </c>
      <c r="J13" s="394"/>
      <c r="K13" s="395">
        <v>44584</v>
      </c>
      <c r="L13" s="396"/>
      <c r="M13" s="391">
        <v>1453296</v>
      </c>
      <c r="N13" s="392"/>
      <c r="O13" s="395" t="s">
        <v>278</v>
      </c>
      <c r="P13" s="401"/>
      <c r="Q13" s="402"/>
      <c r="R13" s="401"/>
      <c r="S13" s="402"/>
      <c r="T13" s="401"/>
    </row>
    <row r="14" spans="1:20">
      <c r="A14" s="393">
        <v>1301661</v>
      </c>
      <c r="B14" s="394"/>
      <c r="C14" s="395" t="s">
        <v>278</v>
      </c>
      <c r="D14" s="396"/>
      <c r="E14" s="393">
        <v>1096172</v>
      </c>
      <c r="F14" s="394"/>
      <c r="G14" s="395" t="s">
        <v>369</v>
      </c>
      <c r="H14" s="396"/>
      <c r="I14" s="393">
        <v>1832879</v>
      </c>
      <c r="J14" s="394"/>
      <c r="K14" s="395">
        <v>44458</v>
      </c>
      <c r="L14" s="396"/>
      <c r="M14" s="407" t="s">
        <v>278</v>
      </c>
      <c r="N14" s="408"/>
      <c r="O14" s="402" t="s">
        <v>278</v>
      </c>
      <c r="P14" s="401"/>
      <c r="Q14" s="402"/>
      <c r="R14" s="401"/>
      <c r="S14" s="402"/>
      <c r="T14" s="401"/>
    </row>
    <row r="15" spans="1:20">
      <c r="A15" s="393">
        <v>645324</v>
      </c>
      <c r="B15" s="394"/>
      <c r="C15" s="395" t="s">
        <v>278</v>
      </c>
      <c r="D15" s="396"/>
      <c r="E15" s="393">
        <v>7341852</v>
      </c>
      <c r="F15" s="394"/>
      <c r="G15" s="395">
        <v>44072</v>
      </c>
      <c r="H15" s="396"/>
      <c r="I15" s="391" t="s">
        <v>278</v>
      </c>
      <c r="J15" s="392"/>
      <c r="K15" s="402" t="s">
        <v>278</v>
      </c>
      <c r="L15" s="401"/>
      <c r="M15" s="393">
        <v>1453397</v>
      </c>
      <c r="N15" s="394"/>
      <c r="O15" s="395" t="s">
        <v>278</v>
      </c>
      <c r="P15" s="396"/>
      <c r="Q15" s="402"/>
      <c r="R15" s="401"/>
      <c r="S15" s="402"/>
      <c r="T15" s="401"/>
    </row>
    <row r="16" spans="1:20">
      <c r="A16" s="391">
        <v>1952803</v>
      </c>
      <c r="B16" s="392"/>
      <c r="C16" s="395" t="s">
        <v>278</v>
      </c>
      <c r="D16" s="401"/>
      <c r="E16" s="393">
        <v>4236654</v>
      </c>
      <c r="F16" s="394"/>
      <c r="G16" s="395" t="s">
        <v>369</v>
      </c>
      <c r="H16" s="401"/>
      <c r="I16" s="391" t="s">
        <v>278</v>
      </c>
      <c r="J16" s="392"/>
      <c r="K16" s="402" t="s">
        <v>278</v>
      </c>
      <c r="L16" s="401"/>
      <c r="M16" s="391">
        <v>1453296</v>
      </c>
      <c r="N16" s="392"/>
      <c r="O16" s="395" t="s">
        <v>278</v>
      </c>
      <c r="P16" s="401"/>
      <c r="Q16" s="402"/>
      <c r="R16" s="401"/>
      <c r="S16" s="402"/>
      <c r="T16" s="401"/>
    </row>
    <row r="17" spans="1:20">
      <c r="A17" s="391" t="s">
        <v>369</v>
      </c>
      <c r="B17" s="392"/>
      <c r="C17" s="402" t="s">
        <v>278</v>
      </c>
      <c r="D17" s="401"/>
      <c r="E17" s="393">
        <v>7003113</v>
      </c>
      <c r="F17" s="394"/>
      <c r="G17" s="395" t="s">
        <v>278</v>
      </c>
      <c r="H17" s="396"/>
      <c r="I17" s="393">
        <v>402576</v>
      </c>
      <c r="J17" s="394"/>
      <c r="K17" s="395" t="s">
        <v>278</v>
      </c>
      <c r="L17" s="396"/>
      <c r="M17" s="391" t="s">
        <v>278</v>
      </c>
      <c r="N17" s="392"/>
      <c r="O17" s="402" t="s">
        <v>278</v>
      </c>
      <c r="P17" s="401"/>
      <c r="Q17" s="402"/>
      <c r="R17" s="401"/>
      <c r="S17" s="402"/>
      <c r="T17" s="401"/>
    </row>
    <row r="18" spans="1:20">
      <c r="A18" s="393">
        <v>1452944</v>
      </c>
      <c r="B18" s="394"/>
      <c r="C18" s="395">
        <v>44239</v>
      </c>
      <c r="D18" s="396"/>
      <c r="E18" s="391" t="s">
        <v>278</v>
      </c>
      <c r="F18" s="392"/>
      <c r="G18" s="402" t="s">
        <v>278</v>
      </c>
      <c r="H18" s="401"/>
      <c r="I18" s="393">
        <v>4814164</v>
      </c>
      <c r="J18" s="394"/>
      <c r="K18" s="395" t="s">
        <v>278</v>
      </c>
      <c r="L18" s="396"/>
      <c r="M18" s="393">
        <v>6582763</v>
      </c>
      <c r="N18" s="394"/>
      <c r="O18" s="395" t="s">
        <v>278</v>
      </c>
      <c r="P18" s="396"/>
      <c r="Q18" s="402"/>
      <c r="R18" s="401"/>
      <c r="S18" s="402"/>
      <c r="T18" s="401"/>
    </row>
    <row r="19" spans="1:20">
      <c r="A19" s="391" t="s">
        <v>369</v>
      </c>
      <c r="B19" s="392"/>
      <c r="C19" s="402" t="s">
        <v>278</v>
      </c>
      <c r="D19" s="401"/>
      <c r="E19" s="393">
        <v>1453048</v>
      </c>
      <c r="F19" s="394"/>
      <c r="G19" s="395">
        <v>44159</v>
      </c>
      <c r="H19" s="396"/>
      <c r="I19" s="393">
        <v>2134218</v>
      </c>
      <c r="J19" s="394"/>
      <c r="K19" s="395" t="s">
        <v>278</v>
      </c>
      <c r="L19" s="396"/>
      <c r="M19" s="393" t="s">
        <v>278</v>
      </c>
      <c r="N19" s="394"/>
      <c r="O19" s="402" t="s">
        <v>278</v>
      </c>
      <c r="P19" s="401"/>
      <c r="Q19" s="402"/>
      <c r="R19" s="401"/>
      <c r="S19" s="402"/>
      <c r="T19" s="401"/>
    </row>
    <row r="20" spans="1:20">
      <c r="A20" s="391" t="s">
        <v>369</v>
      </c>
      <c r="B20" s="392"/>
      <c r="C20" s="402" t="s">
        <v>278</v>
      </c>
      <c r="D20" s="401"/>
      <c r="E20" s="393">
        <v>7618263</v>
      </c>
      <c r="F20" s="394"/>
      <c r="G20" s="395">
        <v>44223</v>
      </c>
      <c r="H20" s="396"/>
      <c r="I20" s="393">
        <v>2254080</v>
      </c>
      <c r="J20" s="394"/>
      <c r="K20" s="395" t="s">
        <v>278</v>
      </c>
      <c r="L20" s="396"/>
      <c r="M20" s="391" t="s">
        <v>278</v>
      </c>
      <c r="N20" s="392"/>
      <c r="O20" s="402" t="s">
        <v>278</v>
      </c>
      <c r="P20" s="401"/>
      <c r="Q20" s="402"/>
      <c r="R20" s="401"/>
      <c r="S20" s="402"/>
      <c r="T20" s="401"/>
    </row>
    <row r="21" spans="1:20">
      <c r="A21" s="393">
        <v>1453317</v>
      </c>
      <c r="B21" s="394"/>
      <c r="C21" s="397">
        <v>44285</v>
      </c>
      <c r="D21" s="398"/>
      <c r="E21" s="391" t="s">
        <v>278</v>
      </c>
      <c r="F21" s="392"/>
      <c r="G21" s="402" t="s">
        <v>278</v>
      </c>
      <c r="H21" s="401"/>
      <c r="I21" s="393">
        <v>1097643</v>
      </c>
      <c r="J21" s="394"/>
      <c r="K21" s="402" t="s">
        <v>278</v>
      </c>
      <c r="L21" s="401"/>
      <c r="M21" s="393">
        <v>1453041</v>
      </c>
      <c r="N21" s="394"/>
      <c r="O21" s="395" t="s">
        <v>278</v>
      </c>
      <c r="P21" s="396"/>
      <c r="Q21" s="402"/>
      <c r="R21" s="401"/>
      <c r="S21" s="402"/>
      <c r="T21" s="401"/>
    </row>
    <row r="22" spans="1:20">
      <c r="A22" s="391" t="s">
        <v>278</v>
      </c>
      <c r="B22" s="392"/>
      <c r="C22" s="402" t="s">
        <v>278</v>
      </c>
      <c r="D22" s="401"/>
      <c r="E22" s="393">
        <v>13864</v>
      </c>
      <c r="F22" s="394"/>
      <c r="G22" s="395" t="s">
        <v>278</v>
      </c>
      <c r="H22" s="396"/>
      <c r="I22" s="393">
        <v>402243</v>
      </c>
      <c r="J22" s="394"/>
      <c r="K22" s="402" t="s">
        <v>278</v>
      </c>
      <c r="L22" s="401"/>
      <c r="M22" s="393">
        <v>1453042</v>
      </c>
      <c r="N22" s="394"/>
      <c r="O22" s="395" t="s">
        <v>278</v>
      </c>
      <c r="P22" s="396"/>
      <c r="Q22" s="402"/>
      <c r="R22" s="401"/>
      <c r="S22" s="402"/>
      <c r="T22" s="401"/>
    </row>
  </sheetData>
  <mergeCells count="210">
    <mergeCell ref="Q10:R10"/>
    <mergeCell ref="Q11:R11"/>
    <mergeCell ref="S18:T18"/>
    <mergeCell ref="O10:P10"/>
    <mergeCell ref="O11:P11"/>
    <mergeCell ref="O18:P18"/>
    <mergeCell ref="O19:P19"/>
    <mergeCell ref="O20:P20"/>
    <mergeCell ref="O21:P21"/>
    <mergeCell ref="S19:T19"/>
    <mergeCell ref="S20:T20"/>
    <mergeCell ref="S21:T21"/>
    <mergeCell ref="O22:P22"/>
    <mergeCell ref="M21:N21"/>
    <mergeCell ref="K21:L21"/>
    <mergeCell ref="C18:D18"/>
    <mergeCell ref="C17:D17"/>
    <mergeCell ref="C16:D16"/>
    <mergeCell ref="E18:F18"/>
    <mergeCell ref="E19:F19"/>
    <mergeCell ref="C22:D22"/>
    <mergeCell ref="C21:D21"/>
    <mergeCell ref="C20:D20"/>
    <mergeCell ref="M17:N17"/>
    <mergeCell ref="K19:L19"/>
    <mergeCell ref="K20:L20"/>
    <mergeCell ref="C19:D19"/>
    <mergeCell ref="S22:T22"/>
    <mergeCell ref="S10:T10"/>
    <mergeCell ref="S11:T11"/>
    <mergeCell ref="S12:T12"/>
    <mergeCell ref="S13:T13"/>
    <mergeCell ref="S14:T14"/>
    <mergeCell ref="S15:T15"/>
    <mergeCell ref="S16:T16"/>
    <mergeCell ref="S17:T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I14:J14"/>
    <mergeCell ref="I15:J15"/>
    <mergeCell ref="I16:J16"/>
    <mergeCell ref="K14:L14"/>
    <mergeCell ref="E17:F17"/>
    <mergeCell ref="I17:J17"/>
    <mergeCell ref="I18:J18"/>
    <mergeCell ref="G18:H18"/>
    <mergeCell ref="K17:L17"/>
    <mergeCell ref="K18:L18"/>
    <mergeCell ref="Q2:R2"/>
    <mergeCell ref="O14:P14"/>
    <mergeCell ref="O15:P15"/>
    <mergeCell ref="O16:P16"/>
    <mergeCell ref="O17:P17"/>
    <mergeCell ref="Q19:R19"/>
    <mergeCell ref="M22:N22"/>
    <mergeCell ref="Q20:R20"/>
    <mergeCell ref="Q12:R12"/>
    <mergeCell ref="Q13:R13"/>
    <mergeCell ref="Q14:R14"/>
    <mergeCell ref="M18:N18"/>
    <mergeCell ref="M19:N19"/>
    <mergeCell ref="M20:N20"/>
    <mergeCell ref="Q21:R21"/>
    <mergeCell ref="Q22:R22"/>
    <mergeCell ref="Q15:R15"/>
    <mergeCell ref="Q16:R16"/>
    <mergeCell ref="Q17:R17"/>
    <mergeCell ref="Q18:R18"/>
    <mergeCell ref="O12:P12"/>
    <mergeCell ref="O13:P13"/>
    <mergeCell ref="M15:N15"/>
    <mergeCell ref="M16:N16"/>
    <mergeCell ref="K13:L13"/>
    <mergeCell ref="S2:T2"/>
    <mergeCell ref="Q3:R3"/>
    <mergeCell ref="Q4:R4"/>
    <mergeCell ref="Q5:R5"/>
    <mergeCell ref="Q6:R6"/>
    <mergeCell ref="Q7:R7"/>
    <mergeCell ref="Q8:R8"/>
    <mergeCell ref="Q9:R9"/>
    <mergeCell ref="O2:P2"/>
    <mergeCell ref="O3:P3"/>
    <mergeCell ref="O4:P4"/>
    <mergeCell ref="O5:P5"/>
    <mergeCell ref="O6:P6"/>
    <mergeCell ref="O7:P7"/>
    <mergeCell ref="O8:P8"/>
    <mergeCell ref="O9:P9"/>
    <mergeCell ref="S3:T3"/>
    <mergeCell ref="S4:T4"/>
    <mergeCell ref="S5:T5"/>
    <mergeCell ref="S6:T6"/>
    <mergeCell ref="S7:T7"/>
    <mergeCell ref="S8:T8"/>
    <mergeCell ref="S9:T9"/>
    <mergeCell ref="M3:N3"/>
    <mergeCell ref="M4:N4"/>
    <mergeCell ref="M5:N5"/>
    <mergeCell ref="M6:N6"/>
    <mergeCell ref="I10:J10"/>
    <mergeCell ref="K9:L9"/>
    <mergeCell ref="K10:L10"/>
    <mergeCell ref="K11:L11"/>
    <mergeCell ref="M2:N2"/>
    <mergeCell ref="M7:N7"/>
    <mergeCell ref="M8:N8"/>
    <mergeCell ref="M9:N9"/>
    <mergeCell ref="M10:N10"/>
    <mergeCell ref="M11:N11"/>
    <mergeCell ref="K2:L2"/>
    <mergeCell ref="I3:J3"/>
    <mergeCell ref="I4:J4"/>
    <mergeCell ref="I5:J5"/>
    <mergeCell ref="I6:J6"/>
    <mergeCell ref="I7:J7"/>
    <mergeCell ref="I8:J8"/>
    <mergeCell ref="I9:J9"/>
    <mergeCell ref="M12:N12"/>
    <mergeCell ref="M13:N13"/>
    <mergeCell ref="M14:N14"/>
    <mergeCell ref="I2:J2"/>
    <mergeCell ref="I11:J11"/>
    <mergeCell ref="I12:J12"/>
    <mergeCell ref="I13:J13"/>
    <mergeCell ref="E15:F15"/>
    <mergeCell ref="E16:F16"/>
    <mergeCell ref="E2:F2"/>
    <mergeCell ref="G2:H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  <mergeCell ref="E13:F13"/>
    <mergeCell ref="E14:F14"/>
    <mergeCell ref="K16:L16"/>
    <mergeCell ref="C4:D4"/>
    <mergeCell ref="C5:D5"/>
    <mergeCell ref="A2:B2"/>
    <mergeCell ref="A3:B3"/>
    <mergeCell ref="A4:B4"/>
    <mergeCell ref="A15:B15"/>
    <mergeCell ref="C15:D15"/>
    <mergeCell ref="G4:H4"/>
    <mergeCell ref="G3:H3"/>
    <mergeCell ref="A12:B12"/>
    <mergeCell ref="A13:B13"/>
    <mergeCell ref="A14:B14"/>
    <mergeCell ref="A5:B5"/>
    <mergeCell ref="C2:D2"/>
    <mergeCell ref="C3:D3"/>
    <mergeCell ref="G7:H7"/>
    <mergeCell ref="G10:H10"/>
    <mergeCell ref="G8:H8"/>
    <mergeCell ref="A6:B6"/>
    <mergeCell ref="A7:B7"/>
    <mergeCell ref="A8:B8"/>
    <mergeCell ref="A9:B9"/>
    <mergeCell ref="A10:B10"/>
    <mergeCell ref="A11:B11"/>
    <mergeCell ref="A21:B21"/>
    <mergeCell ref="I21:J21"/>
    <mergeCell ref="G17:H17"/>
    <mergeCell ref="A19:B19"/>
    <mergeCell ref="A20:B20"/>
    <mergeCell ref="A22:B22"/>
    <mergeCell ref="E20:F20"/>
    <mergeCell ref="E21:F21"/>
    <mergeCell ref="E22:F22"/>
    <mergeCell ref="I22:J22"/>
    <mergeCell ref="G19:H19"/>
    <mergeCell ref="G20:H20"/>
    <mergeCell ref="G21:H21"/>
    <mergeCell ref="A16:B16"/>
    <mergeCell ref="A17:B17"/>
    <mergeCell ref="A18:B18"/>
    <mergeCell ref="G22:H22"/>
    <mergeCell ref="K3:L3"/>
    <mergeCell ref="K4:L4"/>
    <mergeCell ref="K5:L5"/>
    <mergeCell ref="K6:L6"/>
    <mergeCell ref="K7:L7"/>
    <mergeCell ref="K8:L8"/>
    <mergeCell ref="G9:H9"/>
    <mergeCell ref="G6:H6"/>
    <mergeCell ref="G5:H5"/>
    <mergeCell ref="G11:H11"/>
    <mergeCell ref="G12:H12"/>
    <mergeCell ref="G13:H13"/>
    <mergeCell ref="G14:H14"/>
    <mergeCell ref="G15:H15"/>
    <mergeCell ref="G16:H16"/>
    <mergeCell ref="I19:J19"/>
    <mergeCell ref="K12:L12"/>
    <mergeCell ref="K22:L22"/>
    <mergeCell ref="I20:J20"/>
    <mergeCell ref="K15:L15"/>
  </mergeCells>
  <conditionalFormatting sqref="V1:XFD23 T24:XFD27 P28:XFD28 E24:O26 C28:K28 A40:XFD1048576 I34:XFD35 G34:H34 C35:H35 I27:O27 A28:A39 C36:XFD39 C29:XFD33">
    <cfRule type="timePeriod" dxfId="121" priority="41" timePeriod="thisWeek">
      <formula>AND(TODAY()-ROUNDDOWN(A1,0)&lt;=WEEKDAY(TODAY())-1,ROUNDDOWN(A1,0)-TODAY()&lt;=7-WEEKDAY(TODAY()))</formula>
    </cfRule>
  </conditionalFormatting>
  <conditionalFormatting sqref="V1:XFD23 T24:XFD27 P28:XFD28 E24:O26 C28:K28 A40:XFD1048576 I34:XFD35 G34:H34 C35:H35 I27:O27 A28:A39 C36:XFD39 C29:XFD33">
    <cfRule type="timePeriod" dxfId="120" priority="38" timePeriod="nextMonth">
      <formula>AND(MONTH(A1)=MONTH(EDATE(TODAY(),0+1)),YEAR(A1)=YEAR(EDATE(TODAY(),0+1)))</formula>
    </cfRule>
    <cfRule type="timePeriod" dxfId="119" priority="39" timePeriod="thisMonth">
      <formula>AND(MONTH(A1)=MONTH(TODAY()),YEAR(A1)=YEAR(TODAY()))</formula>
    </cfRule>
    <cfRule type="timePeriod" dxfId="118" priority="40" timePeriod="thisWeek">
      <formula>AND(TODAY()-ROUNDDOWN(A1,0)&lt;=WEEKDAY(TODAY())-1,ROUNDDOWN(A1,0)-TODAY()&lt;=7-WEEKDAY(TODAY()))</formula>
    </cfRule>
  </conditionalFormatting>
  <conditionalFormatting sqref="V1:XFD22">
    <cfRule type="timePeriod" dxfId="117" priority="26" timePeriod="today">
      <formula>FLOOR(V1,1)=TODAY()</formula>
    </cfRule>
  </conditionalFormatting>
  <conditionalFormatting sqref="A23:U23 U1:U22">
    <cfRule type="timePeriod" dxfId="116" priority="4" timePeriod="thisWeek">
      <formula>AND(TODAY()-ROUNDDOWN(A1,0)&lt;=WEEKDAY(TODAY())-1,ROUNDDOWN(A1,0)-TODAY()&lt;=7-WEEKDAY(TODAY()))</formula>
    </cfRule>
    <cfRule type="timePeriod" dxfId="115" priority="5" timePeriod="nextWeek">
      <formula>AND(ROUNDDOWN(A1,0)-TODAY()&gt;(7-WEEKDAY(TODAY())),ROUNDDOWN(A1,0)-TODAY()&lt;(15-WEEKDAY(TODAY())))</formula>
    </cfRule>
    <cfRule type="timePeriod" dxfId="114" priority="6" timePeriod="nextMonth">
      <formula>AND(MONTH(A1)=MONTH(EDATE(TODAY(),0+1)),YEAR(A1)=YEAR(EDATE(TODAY(),0+1)))</formula>
    </cfRule>
  </conditionalFormatting>
  <conditionalFormatting sqref="A1:T22">
    <cfRule type="timePeriod" dxfId="113" priority="1" timePeriod="thisWeek">
      <formula>AND(TODAY()-ROUNDDOWN(A1,0)&lt;=WEEKDAY(TODAY())-1,ROUNDDOWN(A1,0)-TODAY()&lt;=7-WEEKDAY(TODAY()))</formula>
    </cfRule>
    <cfRule type="timePeriod" dxfId="112" priority="2" timePeriod="nextWeek">
      <formula>AND(ROUNDDOWN(A1,0)-TODAY()&gt;(7-WEEKDAY(TODAY())),ROUNDDOWN(A1,0)-TODAY()&lt;(15-WEEKDAY(TODAY())))</formula>
    </cfRule>
    <cfRule type="timePeriod" dxfId="111" priority="3" timePeriod="nextMonth">
      <formula>AND(MONTH(A1)=MONTH(EDATE(TODAY(),0+1)),YEAR(A1)=YEAR(EDATE(TODAY(),0+1)))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M169"/>
  <sheetViews>
    <sheetView workbookViewId="0">
      <pane ySplit="1" topLeftCell="A53" activePane="bottomLeft" state="frozen"/>
      <selection activeCell="C12" sqref="C12"/>
      <selection pane="bottomLeft" activeCell="G88" sqref="G88"/>
    </sheetView>
  </sheetViews>
  <sheetFormatPr defaultColWidth="8.88671875" defaultRowHeight="14.4"/>
  <cols>
    <col min="1" max="1" width="8" style="229" bestFit="1" customWidth="1"/>
    <col min="2" max="2" width="14.88671875" style="229" bestFit="1" customWidth="1"/>
    <col min="3" max="3" width="14" style="229" bestFit="1" customWidth="1"/>
    <col min="4" max="4" width="8.88671875" style="229"/>
    <col min="5" max="5" width="13.88671875" style="229" customWidth="1"/>
    <col min="6" max="6" width="11.6640625" style="229" customWidth="1"/>
    <col min="7" max="7" width="8.88671875" style="229"/>
    <col min="8" max="8" width="9.109375" style="229" bestFit="1" customWidth="1"/>
    <col min="9" max="9" width="8.88671875" style="229" customWidth="1"/>
    <col min="10" max="16384" width="8.88671875" style="229"/>
  </cols>
  <sheetData>
    <row r="1" spans="1:13">
      <c r="A1" s="266" t="s">
        <v>459</v>
      </c>
      <c r="B1" s="232" t="s">
        <v>458</v>
      </c>
      <c r="C1" s="231" t="s">
        <v>457</v>
      </c>
      <c r="D1" s="230"/>
      <c r="E1" s="291" t="s">
        <v>604</v>
      </c>
      <c r="F1" s="299" t="s">
        <v>606</v>
      </c>
      <c r="G1" s="368" t="s">
        <v>706</v>
      </c>
    </row>
    <row r="2" spans="1:13">
      <c r="A2" s="301">
        <v>1452803</v>
      </c>
      <c r="B2" s="302">
        <v>1</v>
      </c>
      <c r="C2" s="302" t="s">
        <v>456</v>
      </c>
      <c r="D2" s="302" t="str">
        <f t="shared" ref="D2:D32" si="0">IF(A2="","",CONCATENATE(B2,"-",C2))</f>
        <v>1-A</v>
      </c>
      <c r="E2" s="303">
        <v>45044</v>
      </c>
      <c r="F2" s="304" t="s">
        <v>676</v>
      </c>
      <c r="G2" s="266" t="s">
        <v>278</v>
      </c>
    </row>
    <row r="3" spans="1:13">
      <c r="A3" s="305">
        <v>7342612</v>
      </c>
      <c r="B3" s="306">
        <v>1</v>
      </c>
      <c r="C3" s="306" t="s">
        <v>455</v>
      </c>
      <c r="D3" s="306" t="str">
        <f t="shared" si="0"/>
        <v>1-B</v>
      </c>
      <c r="E3" s="307">
        <v>45127</v>
      </c>
      <c r="F3" s="308" t="s">
        <v>669</v>
      </c>
      <c r="G3" s="266" t="s">
        <v>278</v>
      </c>
    </row>
    <row r="4" spans="1:13">
      <c r="A4" s="298">
        <v>1452923</v>
      </c>
      <c r="B4" s="232">
        <v>1</v>
      </c>
      <c r="C4" s="232" t="s">
        <v>454</v>
      </c>
      <c r="D4" s="232" t="str">
        <f t="shared" si="0"/>
        <v>1-C</v>
      </c>
      <c r="E4" s="309" t="s">
        <v>278</v>
      </c>
      <c r="F4" s="232" t="s">
        <v>278</v>
      </c>
      <c r="G4" s="266" t="s">
        <v>278</v>
      </c>
    </row>
    <row r="5" spans="1:13">
      <c r="A5" s="310">
        <v>8073971</v>
      </c>
      <c r="B5" s="311">
        <v>2</v>
      </c>
      <c r="C5" s="311" t="s">
        <v>456</v>
      </c>
      <c r="D5" s="311" t="str">
        <f t="shared" si="0"/>
        <v>2-A</v>
      </c>
      <c r="E5" s="312">
        <v>45102</v>
      </c>
      <c r="F5" s="313" t="s">
        <v>643</v>
      </c>
      <c r="G5" s="266" t="s">
        <v>278</v>
      </c>
    </row>
    <row r="6" spans="1:13">
      <c r="A6" s="314">
        <v>1453313</v>
      </c>
      <c r="B6" s="315">
        <v>2</v>
      </c>
      <c r="C6" s="315" t="s">
        <v>455</v>
      </c>
      <c r="D6" s="315" t="str">
        <f t="shared" si="0"/>
        <v>2-B</v>
      </c>
      <c r="E6" s="316">
        <v>44912</v>
      </c>
      <c r="F6" s="317" t="s">
        <v>701</v>
      </c>
      <c r="G6" s="266" t="s">
        <v>278</v>
      </c>
    </row>
    <row r="7" spans="1:13">
      <c r="A7" s="298">
        <v>1452806</v>
      </c>
      <c r="B7" s="266">
        <v>2</v>
      </c>
      <c r="C7" s="266" t="s">
        <v>454</v>
      </c>
      <c r="D7" s="266" t="str">
        <f t="shared" si="0"/>
        <v>2-C</v>
      </c>
      <c r="E7" s="318" t="s">
        <v>278</v>
      </c>
      <c r="F7" s="319" t="s">
        <v>278</v>
      </c>
      <c r="G7" s="266" t="s">
        <v>278</v>
      </c>
      <c r="L7" s="366"/>
    </row>
    <row r="8" spans="1:13">
      <c r="A8" s="320">
        <v>1452809</v>
      </c>
      <c r="B8" s="321">
        <v>3</v>
      </c>
      <c r="C8" s="321" t="s">
        <v>456</v>
      </c>
      <c r="D8" s="321" t="str">
        <f t="shared" si="0"/>
        <v>3-A</v>
      </c>
      <c r="E8" s="322">
        <v>44799</v>
      </c>
      <c r="F8" s="321" t="s">
        <v>683</v>
      </c>
      <c r="G8" s="367" t="s">
        <v>670</v>
      </c>
    </row>
    <row r="9" spans="1:13">
      <c r="A9" s="323">
        <v>6336553</v>
      </c>
      <c r="B9" s="324">
        <v>3</v>
      </c>
      <c r="C9" s="324" t="s">
        <v>455</v>
      </c>
      <c r="D9" s="324" t="str">
        <f t="shared" si="0"/>
        <v>3-B</v>
      </c>
      <c r="E9" s="325">
        <v>45011</v>
      </c>
      <c r="F9" s="324" t="s">
        <v>682</v>
      </c>
      <c r="G9" s="266" t="s">
        <v>278</v>
      </c>
    </row>
    <row r="10" spans="1:13">
      <c r="A10" s="266">
        <v>8073898</v>
      </c>
      <c r="B10" s="232">
        <v>3</v>
      </c>
      <c r="C10" s="232" t="s">
        <v>454</v>
      </c>
      <c r="D10" s="232" t="str">
        <f t="shared" si="0"/>
        <v>3-C</v>
      </c>
      <c r="E10" s="326" t="s">
        <v>278</v>
      </c>
      <c r="F10" s="232" t="s">
        <v>278</v>
      </c>
      <c r="G10" s="266" t="s">
        <v>278</v>
      </c>
      <c r="M10" s="365"/>
    </row>
    <row r="11" spans="1:13" ht="17.25" customHeight="1">
      <c r="A11" s="327">
        <v>1453485</v>
      </c>
      <c r="B11" s="328">
        <v>4</v>
      </c>
      <c r="C11" s="328" t="s">
        <v>456</v>
      </c>
      <c r="D11" s="329" t="s">
        <v>656</v>
      </c>
      <c r="E11" s="330">
        <v>44821</v>
      </c>
      <c r="F11" s="328" t="s">
        <v>685</v>
      </c>
      <c r="G11" s="266" t="s">
        <v>278</v>
      </c>
      <c r="H11" s="364"/>
    </row>
    <row r="12" spans="1:13">
      <c r="A12" s="331">
        <v>1301661</v>
      </c>
      <c r="B12" s="332">
        <v>4</v>
      </c>
      <c r="C12" s="332" t="s">
        <v>455</v>
      </c>
      <c r="D12" s="332" t="s">
        <v>675</v>
      </c>
      <c r="E12" s="300">
        <v>44827</v>
      </c>
      <c r="F12" s="333" t="s">
        <v>678</v>
      </c>
      <c r="G12" s="368" t="s">
        <v>278</v>
      </c>
    </row>
    <row r="13" spans="1:13">
      <c r="A13" s="334">
        <v>7003113</v>
      </c>
      <c r="B13" s="335">
        <v>5</v>
      </c>
      <c r="C13" s="335" t="s">
        <v>456</v>
      </c>
      <c r="D13" s="335" t="str">
        <f t="shared" si="0"/>
        <v>5-A</v>
      </c>
      <c r="E13" s="322">
        <v>44793</v>
      </c>
      <c r="F13" s="369" t="s">
        <v>702</v>
      </c>
      <c r="G13" s="367" t="s">
        <v>670</v>
      </c>
    </row>
    <row r="14" spans="1:13">
      <c r="A14" s="266" t="s">
        <v>278</v>
      </c>
      <c r="B14" s="266">
        <v>5</v>
      </c>
      <c r="C14" s="266" t="s">
        <v>455</v>
      </c>
      <c r="D14" s="266" t="s">
        <v>688</v>
      </c>
      <c r="E14" s="336" t="s">
        <v>278</v>
      </c>
      <c r="F14" s="297" t="s">
        <v>278</v>
      </c>
      <c r="G14" s="266" t="s">
        <v>278</v>
      </c>
    </row>
    <row r="15" spans="1:13">
      <c r="A15" s="266" t="s">
        <v>278</v>
      </c>
      <c r="B15" s="232">
        <v>5</v>
      </c>
      <c r="C15" s="232" t="s">
        <v>454</v>
      </c>
      <c r="D15" s="232" t="str">
        <f t="shared" si="0"/>
        <v>5-C</v>
      </c>
      <c r="E15" s="326" t="s">
        <v>278</v>
      </c>
      <c r="F15" s="326" t="s">
        <v>278</v>
      </c>
      <c r="G15" s="266" t="s">
        <v>278</v>
      </c>
    </row>
    <row r="16" spans="1:13">
      <c r="A16" s="323">
        <v>1452944</v>
      </c>
      <c r="B16" s="324">
        <v>6</v>
      </c>
      <c r="C16" s="324" t="s">
        <v>456</v>
      </c>
      <c r="D16" s="324" t="str">
        <f t="shared" si="0"/>
        <v>6-A</v>
      </c>
      <c r="E16" s="325">
        <v>44994</v>
      </c>
      <c r="F16" s="370" t="s">
        <v>644</v>
      </c>
      <c r="G16" s="266" t="s">
        <v>278</v>
      </c>
    </row>
    <row r="17" spans="1:7">
      <c r="A17" s="266" t="s">
        <v>278</v>
      </c>
      <c r="B17" s="232">
        <v>6</v>
      </c>
      <c r="C17" s="232" t="s">
        <v>455</v>
      </c>
      <c r="D17" s="232" t="str">
        <f t="shared" si="0"/>
        <v>6-B</v>
      </c>
      <c r="E17" s="326">
        <f>-PRINCIPAL!C7</f>
        <v>-6924637</v>
      </c>
      <c r="F17" s="326" t="s">
        <v>278</v>
      </c>
      <c r="G17" s="266" t="s">
        <v>278</v>
      </c>
    </row>
    <row r="18" spans="1:7">
      <c r="A18" s="266" t="s">
        <v>278</v>
      </c>
      <c r="B18" s="232">
        <v>6</v>
      </c>
      <c r="C18" s="232" t="s">
        <v>454</v>
      </c>
      <c r="D18" s="232" t="str">
        <f t="shared" si="0"/>
        <v>6-C</v>
      </c>
      <c r="E18" s="326" t="s">
        <v>278</v>
      </c>
      <c r="F18" s="326" t="s">
        <v>278</v>
      </c>
      <c r="G18" s="266" t="s">
        <v>278</v>
      </c>
    </row>
    <row r="19" spans="1:7">
      <c r="A19" s="305">
        <v>1453317</v>
      </c>
      <c r="B19" s="306">
        <v>7</v>
      </c>
      <c r="C19" s="306" t="s">
        <v>456</v>
      </c>
      <c r="D19" s="306" t="str">
        <f t="shared" si="0"/>
        <v>7-A</v>
      </c>
      <c r="E19" s="307">
        <v>45126</v>
      </c>
      <c r="F19" s="337" t="s">
        <v>673</v>
      </c>
      <c r="G19" s="266" t="s">
        <v>278</v>
      </c>
    </row>
    <row r="20" spans="1:7">
      <c r="A20" s="266" t="s">
        <v>278</v>
      </c>
      <c r="B20" s="232">
        <v>7</v>
      </c>
      <c r="C20" s="232" t="s">
        <v>455</v>
      </c>
      <c r="D20" s="232" t="str">
        <f t="shared" si="0"/>
        <v>7-B</v>
      </c>
      <c r="E20" s="326" t="s">
        <v>278</v>
      </c>
      <c r="F20" s="326" t="s">
        <v>278</v>
      </c>
      <c r="G20" s="266" t="s">
        <v>278</v>
      </c>
    </row>
    <row r="21" spans="1:7">
      <c r="A21" s="266" t="s">
        <v>278</v>
      </c>
      <c r="B21" s="232">
        <v>7</v>
      </c>
      <c r="C21" s="232" t="s">
        <v>454</v>
      </c>
      <c r="D21" s="232" t="str">
        <f t="shared" si="0"/>
        <v>7-C</v>
      </c>
      <c r="E21" s="326" t="s">
        <v>278</v>
      </c>
      <c r="F21" s="326" t="s">
        <v>278</v>
      </c>
      <c r="G21" s="266" t="s">
        <v>278</v>
      </c>
    </row>
    <row r="22" spans="1:7">
      <c r="A22" s="327">
        <v>1453152</v>
      </c>
      <c r="B22" s="328">
        <v>8</v>
      </c>
      <c r="C22" s="328" t="s">
        <v>456</v>
      </c>
      <c r="D22" s="328" t="str">
        <f t="shared" si="0"/>
        <v>8-A</v>
      </c>
      <c r="E22" s="330">
        <v>45186</v>
      </c>
      <c r="F22" s="371" t="s">
        <v>681</v>
      </c>
      <c r="G22" s="266" t="s">
        <v>278</v>
      </c>
    </row>
    <row r="23" spans="1:7">
      <c r="A23" s="266" t="s">
        <v>278</v>
      </c>
      <c r="B23" s="232">
        <v>8</v>
      </c>
      <c r="C23" s="232" t="s">
        <v>455</v>
      </c>
      <c r="D23" s="232" t="str">
        <f t="shared" si="0"/>
        <v>8-B</v>
      </c>
      <c r="E23" s="326" t="s">
        <v>278</v>
      </c>
      <c r="F23" s="326" t="s">
        <v>278</v>
      </c>
      <c r="G23" s="266" t="s">
        <v>278</v>
      </c>
    </row>
    <row r="24" spans="1:7">
      <c r="A24" s="266" t="s">
        <v>278</v>
      </c>
      <c r="B24" s="232">
        <v>8</v>
      </c>
      <c r="C24" s="232" t="s">
        <v>454</v>
      </c>
      <c r="D24" s="232" t="str">
        <f t="shared" si="0"/>
        <v>8-C</v>
      </c>
      <c r="E24" s="326" t="s">
        <v>278</v>
      </c>
      <c r="F24" s="326" t="s">
        <v>278</v>
      </c>
      <c r="G24" s="266" t="s">
        <v>278</v>
      </c>
    </row>
    <row r="25" spans="1:7">
      <c r="A25" s="310">
        <v>91721</v>
      </c>
      <c r="B25" s="311">
        <v>9</v>
      </c>
      <c r="C25" s="311" t="s">
        <v>456</v>
      </c>
      <c r="D25" s="311" t="str">
        <f t="shared" si="0"/>
        <v>9-A</v>
      </c>
      <c r="E25" s="312">
        <v>45090</v>
      </c>
      <c r="F25" s="372" t="s">
        <v>645</v>
      </c>
      <c r="G25" s="266" t="s">
        <v>278</v>
      </c>
    </row>
    <row r="26" spans="1:7">
      <c r="A26" s="266" t="s">
        <v>278</v>
      </c>
      <c r="B26" s="232">
        <v>9</v>
      </c>
      <c r="C26" s="232" t="s">
        <v>455</v>
      </c>
      <c r="D26" s="232" t="str">
        <f t="shared" si="0"/>
        <v>9-B</v>
      </c>
      <c r="E26" s="326" t="s">
        <v>278</v>
      </c>
      <c r="F26" s="326" t="s">
        <v>278</v>
      </c>
      <c r="G26" s="266" t="s">
        <v>278</v>
      </c>
    </row>
    <row r="27" spans="1:7">
      <c r="A27" s="266" t="s">
        <v>278</v>
      </c>
      <c r="B27" s="232">
        <v>9</v>
      </c>
      <c r="C27" s="232" t="s">
        <v>454</v>
      </c>
      <c r="D27" s="232" t="str">
        <f t="shared" si="0"/>
        <v>9-C</v>
      </c>
      <c r="E27" s="326" t="s">
        <v>278</v>
      </c>
      <c r="F27" s="326" t="s">
        <v>278</v>
      </c>
      <c r="G27" s="266" t="s">
        <v>278</v>
      </c>
    </row>
    <row r="28" spans="1:7">
      <c r="A28" s="338">
        <v>1452784</v>
      </c>
      <c r="B28" s="339">
        <v>10</v>
      </c>
      <c r="C28" s="339" t="s">
        <v>456</v>
      </c>
      <c r="D28" s="339" t="str">
        <f t="shared" si="0"/>
        <v>10-A</v>
      </c>
      <c r="E28" s="340">
        <v>44942</v>
      </c>
      <c r="F28" s="373" t="s">
        <v>646</v>
      </c>
      <c r="G28" s="266" t="s">
        <v>278</v>
      </c>
    </row>
    <row r="29" spans="1:7">
      <c r="A29" s="266" t="s">
        <v>278</v>
      </c>
      <c r="B29" s="232">
        <v>10</v>
      </c>
      <c r="C29" s="232" t="s">
        <v>455</v>
      </c>
      <c r="D29" s="232" t="str">
        <f t="shared" si="0"/>
        <v>10-B</v>
      </c>
      <c r="E29" s="309" t="s">
        <v>278</v>
      </c>
      <c r="F29" s="326" t="s">
        <v>278</v>
      </c>
      <c r="G29" s="266" t="s">
        <v>278</v>
      </c>
    </row>
    <row r="30" spans="1:7">
      <c r="A30" s="266" t="s">
        <v>278</v>
      </c>
      <c r="B30" s="232">
        <v>10</v>
      </c>
      <c r="C30" s="232" t="s">
        <v>454</v>
      </c>
      <c r="D30" s="232" t="str">
        <f t="shared" si="0"/>
        <v>10-C</v>
      </c>
      <c r="E30" s="326" t="s">
        <v>278</v>
      </c>
      <c r="F30" s="326" t="s">
        <v>278</v>
      </c>
      <c r="G30" s="266" t="s">
        <v>278</v>
      </c>
    </row>
    <row r="31" spans="1:7">
      <c r="A31" s="334">
        <v>1453150</v>
      </c>
      <c r="B31" s="335">
        <v>11</v>
      </c>
      <c r="C31" s="335" t="s">
        <v>456</v>
      </c>
      <c r="D31" s="335" t="str">
        <f t="shared" si="0"/>
        <v>11-A</v>
      </c>
      <c r="E31" s="341">
        <v>44793</v>
      </c>
      <c r="F31" s="369" t="s">
        <v>647</v>
      </c>
      <c r="G31" s="367" t="s">
        <v>670</v>
      </c>
    </row>
    <row r="32" spans="1:7">
      <c r="A32" s="334">
        <v>2254080</v>
      </c>
      <c r="B32" s="335">
        <v>11</v>
      </c>
      <c r="C32" s="335" t="s">
        <v>455</v>
      </c>
      <c r="D32" s="335" t="str">
        <f t="shared" si="0"/>
        <v>11-B</v>
      </c>
      <c r="E32" s="341">
        <v>44788</v>
      </c>
      <c r="F32" s="369" t="s">
        <v>674</v>
      </c>
      <c r="G32" s="367" t="s">
        <v>670</v>
      </c>
    </row>
    <row r="33" spans="1:9">
      <c r="A33" s="331">
        <v>7341852</v>
      </c>
      <c r="B33" s="332">
        <v>11</v>
      </c>
      <c r="C33" s="332" t="s">
        <v>454</v>
      </c>
      <c r="D33" s="332" t="str">
        <f t="shared" ref="D33:D64" si="1">IF(A33="","",CONCATENATE(B33,"-",C33))</f>
        <v>11-C</v>
      </c>
      <c r="E33" s="300">
        <v>44824</v>
      </c>
      <c r="F33" s="374" t="s">
        <v>671</v>
      </c>
      <c r="G33" s="266" t="s">
        <v>278</v>
      </c>
      <c r="H33" s="61"/>
    </row>
    <row r="34" spans="1:9">
      <c r="A34" s="338">
        <v>1455401</v>
      </c>
      <c r="B34" s="339">
        <v>12</v>
      </c>
      <c r="C34" s="339" t="s">
        <v>456</v>
      </c>
      <c r="D34" s="339" t="str">
        <f t="shared" si="1"/>
        <v>12-A</v>
      </c>
      <c r="E34" s="340">
        <v>44951</v>
      </c>
      <c r="F34" s="373" t="s">
        <v>703</v>
      </c>
      <c r="G34" s="266" t="s">
        <v>278</v>
      </c>
    </row>
    <row r="35" spans="1:9">
      <c r="A35" s="310">
        <v>1452745</v>
      </c>
      <c r="B35" s="311">
        <v>12</v>
      </c>
      <c r="C35" s="311" t="s">
        <v>455</v>
      </c>
      <c r="D35" s="311" t="str">
        <f t="shared" si="1"/>
        <v>12-B</v>
      </c>
      <c r="E35" s="342">
        <v>45090</v>
      </c>
      <c r="F35" s="375" t="s">
        <v>648</v>
      </c>
      <c r="G35" s="266" t="s">
        <v>278</v>
      </c>
    </row>
    <row r="36" spans="1:9">
      <c r="A36" s="266">
        <v>6924637</v>
      </c>
      <c r="B36" s="266">
        <v>12</v>
      </c>
      <c r="C36" s="266" t="s">
        <v>454</v>
      </c>
      <c r="D36" s="266" t="str">
        <f t="shared" si="1"/>
        <v>12-C</v>
      </c>
      <c r="E36" s="336" t="s">
        <v>278</v>
      </c>
      <c r="F36" s="297" t="s">
        <v>278</v>
      </c>
      <c r="G36" s="266" t="s">
        <v>278</v>
      </c>
    </row>
    <row r="37" spans="1:9">
      <c r="A37" s="305">
        <v>1453048</v>
      </c>
      <c r="B37" s="306">
        <v>13</v>
      </c>
      <c r="C37" s="306" t="s">
        <v>456</v>
      </c>
      <c r="D37" s="306" t="str">
        <f t="shared" si="1"/>
        <v>13-A</v>
      </c>
      <c r="E37" s="343">
        <v>45127</v>
      </c>
      <c r="F37" s="376" t="s">
        <v>649</v>
      </c>
      <c r="G37" s="266" t="s">
        <v>278</v>
      </c>
    </row>
    <row r="38" spans="1:9">
      <c r="A38" s="298">
        <v>6495750</v>
      </c>
      <c r="B38" s="266">
        <v>13</v>
      </c>
      <c r="C38" s="266" t="s">
        <v>455</v>
      </c>
      <c r="D38" s="266" t="str">
        <f t="shared" si="1"/>
        <v>13-B</v>
      </c>
      <c r="E38" s="336"/>
      <c r="F38" s="297"/>
      <c r="G38" s="387" t="s">
        <v>710</v>
      </c>
    </row>
    <row r="39" spans="1:9">
      <c r="A39" s="266">
        <v>2270266</v>
      </c>
      <c r="B39" s="306">
        <v>13</v>
      </c>
      <c r="C39" s="306" t="s">
        <v>454</v>
      </c>
      <c r="D39" s="306" t="s">
        <v>709</v>
      </c>
      <c r="E39" s="343">
        <v>45123</v>
      </c>
      <c r="F39" s="376" t="s">
        <v>708</v>
      </c>
      <c r="G39" s="266" t="s">
        <v>278</v>
      </c>
      <c r="H39" s="386"/>
      <c r="I39" s="386"/>
    </row>
    <row r="40" spans="1:9">
      <c r="A40" s="338">
        <v>13864</v>
      </c>
      <c r="B40" s="339">
        <v>14</v>
      </c>
      <c r="C40" s="339" t="s">
        <v>456</v>
      </c>
      <c r="D40" s="339" t="str">
        <f t="shared" si="1"/>
        <v>14-A</v>
      </c>
      <c r="E40" s="340">
        <v>44947</v>
      </c>
      <c r="F40" s="373" t="s">
        <v>650</v>
      </c>
      <c r="G40" s="266" t="s">
        <v>278</v>
      </c>
    </row>
    <row r="41" spans="1:9">
      <c r="A41" s="298">
        <v>8358715</v>
      </c>
      <c r="B41" s="266">
        <v>14</v>
      </c>
      <c r="C41" s="266" t="s">
        <v>455</v>
      </c>
      <c r="D41" s="266" t="str">
        <f t="shared" si="1"/>
        <v>14-B</v>
      </c>
      <c r="E41" s="336">
        <v>44975</v>
      </c>
      <c r="F41" s="297" t="s">
        <v>707</v>
      </c>
      <c r="G41" s="266" t="s">
        <v>278</v>
      </c>
    </row>
    <row r="42" spans="1:9">
      <c r="A42" s="334">
        <v>117980</v>
      </c>
      <c r="B42" s="335">
        <v>14</v>
      </c>
      <c r="C42" s="335" t="s">
        <v>454</v>
      </c>
      <c r="D42" s="335" t="str">
        <f t="shared" si="1"/>
        <v>14-C</v>
      </c>
      <c r="E42" s="341">
        <v>44798</v>
      </c>
      <c r="F42" s="341" t="s">
        <v>677</v>
      </c>
      <c r="G42" s="367" t="s">
        <v>670</v>
      </c>
    </row>
    <row r="43" spans="1:9">
      <c r="A43" s="331">
        <v>6572286</v>
      </c>
      <c r="B43" s="332">
        <v>15</v>
      </c>
      <c r="C43" s="332" t="s">
        <v>456</v>
      </c>
      <c r="D43" s="332" t="str">
        <f t="shared" si="1"/>
        <v>15-A</v>
      </c>
      <c r="E43" s="300">
        <v>44829</v>
      </c>
      <c r="F43" s="374" t="s">
        <v>653</v>
      </c>
      <c r="G43" s="266" t="s">
        <v>278</v>
      </c>
    </row>
    <row r="44" spans="1:9">
      <c r="A44" s="334">
        <v>116897</v>
      </c>
      <c r="B44" s="335">
        <v>15</v>
      </c>
      <c r="C44" s="335" t="s">
        <v>455</v>
      </c>
      <c r="D44" s="335" t="str">
        <f t="shared" si="1"/>
        <v>15-B</v>
      </c>
      <c r="E44" s="341">
        <v>44793</v>
      </c>
      <c r="F44" s="369" t="s">
        <v>687</v>
      </c>
      <c r="G44" s="367" t="s">
        <v>670</v>
      </c>
    </row>
    <row r="45" spans="1:9">
      <c r="A45" s="305">
        <v>1452967</v>
      </c>
      <c r="B45" s="306">
        <v>15</v>
      </c>
      <c r="C45" s="306" t="s">
        <v>454</v>
      </c>
      <c r="D45" s="306" t="str">
        <f t="shared" si="1"/>
        <v>15-C</v>
      </c>
      <c r="E45" s="343">
        <v>45127</v>
      </c>
      <c r="F45" s="376" t="s">
        <v>654</v>
      </c>
      <c r="G45" s="266" t="s">
        <v>278</v>
      </c>
    </row>
    <row r="46" spans="1:9">
      <c r="A46" s="344">
        <v>4551530</v>
      </c>
      <c r="B46" s="345">
        <v>16</v>
      </c>
      <c r="C46" s="345" t="s">
        <v>456</v>
      </c>
      <c r="D46" s="345" t="str">
        <f t="shared" si="1"/>
        <v>16-A</v>
      </c>
      <c r="E46" s="346">
        <v>44885</v>
      </c>
      <c r="F46" s="377" t="s">
        <v>655</v>
      </c>
      <c r="G46" s="266" t="s">
        <v>278</v>
      </c>
    </row>
    <row r="47" spans="1:9">
      <c r="A47" s="347">
        <v>1452987</v>
      </c>
      <c r="B47" s="348">
        <v>16</v>
      </c>
      <c r="C47" s="348" t="s">
        <v>455</v>
      </c>
      <c r="D47" s="348" t="str">
        <f t="shared" si="1"/>
        <v>16-B</v>
      </c>
      <c r="E47" s="349">
        <v>45431</v>
      </c>
      <c r="F47" s="378" t="s">
        <v>704</v>
      </c>
      <c r="G47" s="266" t="s">
        <v>278</v>
      </c>
    </row>
    <row r="48" spans="1:9">
      <c r="A48" s="311">
        <v>1452971</v>
      </c>
      <c r="B48" s="311">
        <v>16</v>
      </c>
      <c r="C48" s="311" t="s">
        <v>454</v>
      </c>
      <c r="D48" s="311" t="str">
        <f t="shared" si="1"/>
        <v>16-C</v>
      </c>
      <c r="E48" s="342">
        <v>45097</v>
      </c>
      <c r="F48" s="375" t="s">
        <v>672</v>
      </c>
      <c r="G48" s="266" t="s">
        <v>278</v>
      </c>
    </row>
    <row r="49" spans="1:8">
      <c r="A49" s="350">
        <v>1452969</v>
      </c>
      <c r="B49" s="351">
        <v>17</v>
      </c>
      <c r="C49" s="351" t="s">
        <v>456</v>
      </c>
      <c r="D49" s="351" t="str">
        <f t="shared" si="1"/>
        <v>17-A</v>
      </c>
      <c r="E49" s="352">
        <v>45431</v>
      </c>
      <c r="F49" s="379" t="s">
        <v>680</v>
      </c>
      <c r="G49" s="266" t="s">
        <v>278</v>
      </c>
    </row>
    <row r="50" spans="1:8">
      <c r="A50" s="327">
        <v>1454330</v>
      </c>
      <c r="B50" s="328">
        <v>17</v>
      </c>
      <c r="C50" s="328" t="s">
        <v>455</v>
      </c>
      <c r="D50" s="328" t="str">
        <f t="shared" si="1"/>
        <v>17-B</v>
      </c>
      <c r="E50" s="330">
        <v>45189</v>
      </c>
      <c r="F50" s="371" t="s">
        <v>684</v>
      </c>
      <c r="G50" s="319" t="s">
        <v>278</v>
      </c>
    </row>
    <row r="51" spans="1:8">
      <c r="A51" s="353">
        <v>1452801</v>
      </c>
      <c r="B51" s="354">
        <v>17</v>
      </c>
      <c r="C51" s="354" t="s">
        <v>454</v>
      </c>
      <c r="D51" s="354" t="str">
        <f t="shared" si="1"/>
        <v>17-C</v>
      </c>
      <c r="E51" s="355">
        <v>44851</v>
      </c>
      <c r="F51" s="380" t="s">
        <v>657</v>
      </c>
      <c r="G51" s="319" t="s">
        <v>278</v>
      </c>
    </row>
    <row r="52" spans="1:8">
      <c r="A52" s="347">
        <v>1832879</v>
      </c>
      <c r="B52" s="348">
        <v>18</v>
      </c>
      <c r="C52" s="348" t="s">
        <v>456</v>
      </c>
      <c r="D52" s="348" t="str">
        <f t="shared" si="1"/>
        <v>18-A</v>
      </c>
      <c r="E52" s="349">
        <v>45066</v>
      </c>
      <c r="F52" s="378" t="s">
        <v>658</v>
      </c>
      <c r="G52" s="319" t="s">
        <v>278</v>
      </c>
    </row>
    <row r="53" spans="1:8" ht="15.6">
      <c r="A53" s="266" t="s">
        <v>278</v>
      </c>
      <c r="B53" s="232">
        <v>18</v>
      </c>
      <c r="C53" s="232" t="s">
        <v>455</v>
      </c>
      <c r="D53" s="232" t="str">
        <f t="shared" si="1"/>
        <v>18-B</v>
      </c>
      <c r="E53" s="326" t="s">
        <v>278</v>
      </c>
      <c r="F53" s="326" t="s">
        <v>278</v>
      </c>
      <c r="G53" s="319" t="s">
        <v>278</v>
      </c>
      <c r="H53" s="290"/>
    </row>
    <row r="54" spans="1:8">
      <c r="A54" s="266" t="s">
        <v>278</v>
      </c>
      <c r="B54" s="232">
        <v>18</v>
      </c>
      <c r="C54" s="232" t="s">
        <v>454</v>
      </c>
      <c r="D54" s="232" t="str">
        <f t="shared" si="1"/>
        <v>18-C</v>
      </c>
      <c r="E54" s="326" t="s">
        <v>278</v>
      </c>
      <c r="F54" s="326" t="s">
        <v>278</v>
      </c>
      <c r="G54" s="384" t="s">
        <v>278</v>
      </c>
    </row>
    <row r="55" spans="1:8">
      <c r="A55" s="334">
        <v>402576</v>
      </c>
      <c r="B55" s="335">
        <v>19</v>
      </c>
      <c r="C55" s="335" t="s">
        <v>456</v>
      </c>
      <c r="D55" s="335" t="str">
        <f t="shared" si="1"/>
        <v>19-A</v>
      </c>
      <c r="E55" s="341">
        <v>44785</v>
      </c>
      <c r="F55" s="369" t="s">
        <v>659</v>
      </c>
      <c r="G55" s="367" t="s">
        <v>670</v>
      </c>
    </row>
    <row r="56" spans="1:8">
      <c r="A56" s="334">
        <v>2781902</v>
      </c>
      <c r="B56" s="335">
        <v>19</v>
      </c>
      <c r="C56" s="335" t="s">
        <v>455</v>
      </c>
      <c r="D56" s="335" t="str">
        <f t="shared" si="1"/>
        <v>19-B</v>
      </c>
      <c r="E56" s="341">
        <v>44785</v>
      </c>
      <c r="F56" s="369" t="s">
        <v>660</v>
      </c>
      <c r="G56" s="367" t="s">
        <v>670</v>
      </c>
    </row>
    <row r="57" spans="1:8">
      <c r="A57" s="331">
        <v>1453037</v>
      </c>
      <c r="B57" s="332">
        <v>19</v>
      </c>
      <c r="C57" s="332" t="s">
        <v>454</v>
      </c>
      <c r="D57" s="332" t="str">
        <f t="shared" si="1"/>
        <v>19-C</v>
      </c>
      <c r="E57" s="363">
        <v>44833</v>
      </c>
      <c r="F57" s="374" t="s">
        <v>686</v>
      </c>
      <c r="G57" s="319" t="s">
        <v>278</v>
      </c>
    </row>
    <row r="58" spans="1:8">
      <c r="A58" s="347">
        <v>9653962</v>
      </c>
      <c r="B58" s="348">
        <v>20</v>
      </c>
      <c r="C58" s="348" t="s">
        <v>456</v>
      </c>
      <c r="D58" s="348" t="str">
        <f t="shared" si="1"/>
        <v>20-A</v>
      </c>
      <c r="E58" s="349">
        <v>45066</v>
      </c>
      <c r="F58" s="378" t="s">
        <v>661</v>
      </c>
      <c r="G58" s="319" t="s">
        <v>278</v>
      </c>
    </row>
    <row r="59" spans="1:8">
      <c r="A59" s="298">
        <v>1097643</v>
      </c>
      <c r="B59" s="232">
        <v>20</v>
      </c>
      <c r="C59" s="232" t="s">
        <v>455</v>
      </c>
      <c r="D59" s="232" t="str">
        <f t="shared" si="1"/>
        <v>20-B</v>
      </c>
      <c r="E59" s="326" t="s">
        <v>278</v>
      </c>
      <c r="F59" s="326" t="s">
        <v>278</v>
      </c>
      <c r="G59" s="319" t="s">
        <v>278</v>
      </c>
    </row>
    <row r="60" spans="1:8">
      <c r="A60" s="298">
        <v>402243</v>
      </c>
      <c r="B60" s="232">
        <v>20</v>
      </c>
      <c r="C60" s="232" t="s">
        <v>454</v>
      </c>
      <c r="D60" s="232" t="str">
        <f t="shared" si="1"/>
        <v>20-C</v>
      </c>
      <c r="E60" s="326" t="s">
        <v>278</v>
      </c>
      <c r="F60" s="326" t="s">
        <v>278</v>
      </c>
      <c r="G60" s="319" t="s">
        <v>278</v>
      </c>
    </row>
    <row r="61" spans="1:8">
      <c r="A61" s="353">
        <v>1452815</v>
      </c>
      <c r="B61" s="354">
        <v>21</v>
      </c>
      <c r="C61" s="354" t="s">
        <v>456</v>
      </c>
      <c r="D61" s="354" t="str">
        <f t="shared" si="1"/>
        <v>21-A</v>
      </c>
      <c r="E61" s="355">
        <v>44859</v>
      </c>
      <c r="F61" s="380" t="s">
        <v>662</v>
      </c>
      <c r="G61" s="319" t="s">
        <v>278</v>
      </c>
    </row>
    <row r="62" spans="1:8">
      <c r="A62" s="310">
        <v>1453296</v>
      </c>
      <c r="B62" s="311">
        <v>21</v>
      </c>
      <c r="C62" s="311" t="s">
        <v>455</v>
      </c>
      <c r="D62" s="311" t="str">
        <f t="shared" si="1"/>
        <v>21-B</v>
      </c>
      <c r="E62" s="342">
        <v>45099</v>
      </c>
      <c r="F62" s="375" t="s">
        <v>705</v>
      </c>
      <c r="G62" s="319" t="s">
        <v>278</v>
      </c>
    </row>
    <row r="63" spans="1:8">
      <c r="A63" s="356">
        <v>1727779</v>
      </c>
      <c r="B63" s="356">
        <v>21</v>
      </c>
      <c r="C63" s="356" t="s">
        <v>454</v>
      </c>
      <c r="D63" s="356" t="str">
        <f t="shared" si="1"/>
        <v>21-C</v>
      </c>
      <c r="E63" s="357">
        <v>44885</v>
      </c>
      <c r="F63" s="381" t="s">
        <v>679</v>
      </c>
      <c r="G63" s="319" t="s">
        <v>278</v>
      </c>
    </row>
    <row r="64" spans="1:8">
      <c r="A64" s="334">
        <v>1453043</v>
      </c>
      <c r="B64" s="335">
        <v>22</v>
      </c>
      <c r="C64" s="335" t="s">
        <v>456</v>
      </c>
      <c r="D64" s="335" t="str">
        <f t="shared" si="1"/>
        <v>22-A</v>
      </c>
      <c r="E64" s="341">
        <v>45160</v>
      </c>
      <c r="F64" s="369" t="s">
        <v>663</v>
      </c>
      <c r="G64" s="319" t="s">
        <v>278</v>
      </c>
    </row>
    <row r="65" spans="1:7">
      <c r="A65" s="301">
        <v>7985563</v>
      </c>
      <c r="B65" s="302">
        <v>22</v>
      </c>
      <c r="C65" s="302" t="s">
        <v>455</v>
      </c>
      <c r="D65" s="302" t="str">
        <f t="shared" ref="D65:D96" si="2">IF(A65="","",CONCATENATE(B65,"-",C65))</f>
        <v>22-B</v>
      </c>
      <c r="E65" s="358">
        <v>45036</v>
      </c>
      <c r="F65" s="382" t="s">
        <v>664</v>
      </c>
      <c r="G65" s="319" t="s">
        <v>278</v>
      </c>
    </row>
    <row r="66" spans="1:7">
      <c r="A66" s="298">
        <v>4379651</v>
      </c>
      <c r="B66" s="232">
        <v>22</v>
      </c>
      <c r="C66" s="232" t="s">
        <v>454</v>
      </c>
      <c r="D66" s="232" t="str">
        <f t="shared" si="2"/>
        <v>22-C</v>
      </c>
      <c r="E66" s="309" t="s">
        <v>278</v>
      </c>
      <c r="F66" s="326" t="s">
        <v>278</v>
      </c>
      <c r="G66" s="319" t="s">
        <v>278</v>
      </c>
    </row>
    <row r="67" spans="1:7" ht="15.75" customHeight="1">
      <c r="A67" s="338">
        <v>1452750</v>
      </c>
      <c r="B67" s="339">
        <v>23</v>
      </c>
      <c r="C67" s="339" t="s">
        <v>456</v>
      </c>
      <c r="D67" s="339" t="str">
        <f t="shared" si="2"/>
        <v>23-A</v>
      </c>
      <c r="E67" s="340">
        <v>44950</v>
      </c>
      <c r="F67" s="373" t="s">
        <v>665</v>
      </c>
      <c r="G67" s="319" t="s">
        <v>278</v>
      </c>
    </row>
    <row r="68" spans="1:7">
      <c r="A68" s="266" t="s">
        <v>278</v>
      </c>
      <c r="B68" s="232">
        <v>23</v>
      </c>
      <c r="C68" s="232" t="s">
        <v>455</v>
      </c>
      <c r="D68" s="232" t="str">
        <f t="shared" si="2"/>
        <v>23-B</v>
      </c>
      <c r="E68" s="326" t="s">
        <v>278</v>
      </c>
      <c r="F68" s="326" t="s">
        <v>278</v>
      </c>
      <c r="G68" s="319" t="s">
        <v>278</v>
      </c>
    </row>
    <row r="69" spans="1:7" ht="15.75" customHeight="1">
      <c r="A69" s="266" t="s">
        <v>278</v>
      </c>
      <c r="B69" s="232">
        <v>23</v>
      </c>
      <c r="C69" s="232" t="s">
        <v>454</v>
      </c>
      <c r="D69" s="232" t="str">
        <f t="shared" si="2"/>
        <v>23-C</v>
      </c>
      <c r="E69" s="326" t="s">
        <v>278</v>
      </c>
      <c r="F69" s="326" t="s">
        <v>278</v>
      </c>
      <c r="G69" s="319" t="s">
        <v>278</v>
      </c>
    </row>
    <row r="70" spans="1:7">
      <c r="A70" s="298">
        <v>1780630</v>
      </c>
      <c r="B70" s="266">
        <v>24</v>
      </c>
      <c r="C70" s="266" t="s">
        <v>456</v>
      </c>
      <c r="D70" s="266" t="s">
        <v>642</v>
      </c>
      <c r="E70" s="336">
        <v>44975</v>
      </c>
      <c r="F70" s="297" t="s">
        <v>666</v>
      </c>
      <c r="G70" s="319" t="s">
        <v>278</v>
      </c>
    </row>
    <row r="71" spans="1:7">
      <c r="A71" s="266" t="s">
        <v>278</v>
      </c>
      <c r="B71" s="232">
        <v>24</v>
      </c>
      <c r="C71" s="232" t="s">
        <v>455</v>
      </c>
      <c r="D71" s="232"/>
      <c r="E71" s="326" t="s">
        <v>278</v>
      </c>
      <c r="F71" s="326" t="s">
        <v>278</v>
      </c>
      <c r="G71" s="319" t="s">
        <v>278</v>
      </c>
    </row>
    <row r="72" spans="1:7">
      <c r="A72" s="359" t="s">
        <v>278</v>
      </c>
      <c r="B72" s="232">
        <v>24</v>
      </c>
      <c r="C72" s="232" t="s">
        <v>454</v>
      </c>
      <c r="D72" s="232"/>
      <c r="E72" s="326" t="s">
        <v>278</v>
      </c>
      <c r="F72" s="326" t="s">
        <v>278</v>
      </c>
      <c r="G72" s="319" t="s">
        <v>278</v>
      </c>
    </row>
    <row r="73" spans="1:7">
      <c r="A73" s="310">
        <v>1452832</v>
      </c>
      <c r="B73" s="311">
        <v>25</v>
      </c>
      <c r="C73" s="311" t="s">
        <v>456</v>
      </c>
      <c r="D73" s="311" t="str">
        <f t="shared" si="2"/>
        <v>25-A</v>
      </c>
      <c r="E73" s="342">
        <v>45090</v>
      </c>
      <c r="F73" s="375" t="s">
        <v>667</v>
      </c>
      <c r="G73" s="319" t="s">
        <v>278</v>
      </c>
    </row>
    <row r="74" spans="1:7">
      <c r="A74" s="266" t="s">
        <v>278</v>
      </c>
      <c r="B74" s="232">
        <v>25</v>
      </c>
      <c r="C74" s="232" t="s">
        <v>455</v>
      </c>
      <c r="D74" s="232" t="str">
        <f t="shared" si="2"/>
        <v>25-B</v>
      </c>
      <c r="E74" s="326" t="s">
        <v>278</v>
      </c>
      <c r="F74" s="326" t="s">
        <v>278</v>
      </c>
      <c r="G74" s="319" t="s">
        <v>278</v>
      </c>
    </row>
    <row r="75" spans="1:7">
      <c r="A75" s="266" t="s">
        <v>278</v>
      </c>
      <c r="B75" s="232">
        <v>25</v>
      </c>
      <c r="C75" s="232" t="s">
        <v>454</v>
      </c>
      <c r="D75" s="232" t="str">
        <f t="shared" si="2"/>
        <v>25-C</v>
      </c>
      <c r="E75" s="326" t="s">
        <v>278</v>
      </c>
      <c r="F75" s="326" t="s">
        <v>278</v>
      </c>
      <c r="G75" s="319" t="s">
        <v>278</v>
      </c>
    </row>
    <row r="76" spans="1:7">
      <c r="A76" s="360">
        <v>1453397</v>
      </c>
      <c r="B76" s="361">
        <v>26</v>
      </c>
      <c r="C76" s="361" t="s">
        <v>456</v>
      </c>
      <c r="D76" s="361" t="str">
        <f t="shared" si="2"/>
        <v>26-A</v>
      </c>
      <c r="E76" s="362">
        <v>44922</v>
      </c>
      <c r="F76" s="383" t="s">
        <v>668</v>
      </c>
      <c r="G76" s="319" t="s">
        <v>278</v>
      </c>
    </row>
    <row r="77" spans="1:7">
      <c r="A77" s="298" t="s">
        <v>278</v>
      </c>
      <c r="B77" s="232">
        <v>26</v>
      </c>
      <c r="C77" s="232" t="s">
        <v>455</v>
      </c>
      <c r="D77" s="232" t="str">
        <f t="shared" si="2"/>
        <v>26-B</v>
      </c>
      <c r="E77" s="326" t="s">
        <v>278</v>
      </c>
      <c r="F77" s="326" t="s">
        <v>278</v>
      </c>
      <c r="G77" s="319" t="s">
        <v>278</v>
      </c>
    </row>
    <row r="78" spans="1:7">
      <c r="A78" s="266" t="s">
        <v>278</v>
      </c>
      <c r="B78" s="232">
        <v>26</v>
      </c>
      <c r="C78" s="232" t="s">
        <v>454</v>
      </c>
      <c r="D78" s="232" t="str">
        <f t="shared" si="2"/>
        <v>26-C</v>
      </c>
      <c r="E78" s="326" t="s">
        <v>278</v>
      </c>
      <c r="F78" s="326" t="s">
        <v>278</v>
      </c>
      <c r="G78" s="319" t="s">
        <v>278</v>
      </c>
    </row>
    <row r="79" spans="1:7">
      <c r="A79" s="310">
        <v>5642733</v>
      </c>
      <c r="B79" s="311">
        <v>27</v>
      </c>
      <c r="C79" s="311" t="s">
        <v>456</v>
      </c>
      <c r="D79" s="311" t="str">
        <f t="shared" si="2"/>
        <v>27-A</v>
      </c>
      <c r="E79" s="342">
        <v>45084</v>
      </c>
      <c r="F79" s="375" t="s">
        <v>652</v>
      </c>
      <c r="G79" s="319" t="s">
        <v>278</v>
      </c>
    </row>
    <row r="80" spans="1:7">
      <c r="A80" s="298">
        <v>1453042</v>
      </c>
      <c r="B80" s="232">
        <v>27</v>
      </c>
      <c r="C80" s="232" t="s">
        <v>455</v>
      </c>
      <c r="D80" s="232" t="str">
        <f t="shared" si="2"/>
        <v>27-B</v>
      </c>
      <c r="E80" s="309" t="s">
        <v>278</v>
      </c>
      <c r="F80" s="326" t="s">
        <v>278</v>
      </c>
      <c r="G80" s="385" t="s">
        <v>278</v>
      </c>
    </row>
    <row r="81" spans="1:7">
      <c r="A81" s="266">
        <v>1453037</v>
      </c>
      <c r="B81" s="232">
        <v>27</v>
      </c>
      <c r="C81" s="232" t="s">
        <v>454</v>
      </c>
      <c r="D81" s="232" t="str">
        <f t="shared" si="2"/>
        <v>27-C</v>
      </c>
      <c r="E81" s="309" t="s">
        <v>278</v>
      </c>
      <c r="F81" s="326" t="s">
        <v>278</v>
      </c>
      <c r="G81" s="319" t="s">
        <v>278</v>
      </c>
    </row>
    <row r="82" spans="1:7">
      <c r="A82" s="298">
        <v>7985563</v>
      </c>
      <c r="B82" s="232">
        <v>28</v>
      </c>
      <c r="C82" s="232" t="s">
        <v>456</v>
      </c>
      <c r="D82" s="232" t="str">
        <f t="shared" si="2"/>
        <v>28-A</v>
      </c>
      <c r="E82" s="309" t="s">
        <v>278</v>
      </c>
      <c r="F82" s="326" t="s">
        <v>278</v>
      </c>
      <c r="G82" s="319" t="s">
        <v>278</v>
      </c>
    </row>
    <row r="83" spans="1:7">
      <c r="A83" s="266">
        <v>4878330</v>
      </c>
      <c r="B83" s="232">
        <v>28</v>
      </c>
      <c r="C83" s="232" t="s">
        <v>455</v>
      </c>
      <c r="D83" s="232" t="str">
        <f t="shared" si="2"/>
        <v>28-B</v>
      </c>
      <c r="E83" s="309" t="s">
        <v>278</v>
      </c>
      <c r="F83" s="326" t="s">
        <v>278</v>
      </c>
      <c r="G83" s="319" t="s">
        <v>278</v>
      </c>
    </row>
    <row r="84" spans="1:7">
      <c r="A84" s="266" t="s">
        <v>278</v>
      </c>
      <c r="B84" s="232">
        <v>28</v>
      </c>
      <c r="C84" s="232" t="s">
        <v>454</v>
      </c>
      <c r="D84" s="232" t="str">
        <f t="shared" si="2"/>
        <v>28-C</v>
      </c>
      <c r="E84" s="326" t="s">
        <v>278</v>
      </c>
      <c r="F84" s="326" t="s">
        <v>278</v>
      </c>
      <c r="G84" s="319" t="s">
        <v>278</v>
      </c>
    </row>
    <row r="85" spans="1:7">
      <c r="A85" s="298">
        <v>1453453</v>
      </c>
      <c r="B85" s="232">
        <v>29</v>
      </c>
      <c r="C85" s="232" t="s">
        <v>456</v>
      </c>
      <c r="D85" s="232" t="str">
        <f t="shared" si="2"/>
        <v>29-A</v>
      </c>
      <c r="E85" s="326" t="s">
        <v>278</v>
      </c>
      <c r="F85" s="326" t="s">
        <v>278</v>
      </c>
      <c r="G85" s="319" t="s">
        <v>278</v>
      </c>
    </row>
    <row r="86" spans="1:7">
      <c r="A86" s="266" t="s">
        <v>278</v>
      </c>
      <c r="B86" s="232">
        <v>29</v>
      </c>
      <c r="C86" s="232" t="s">
        <v>455</v>
      </c>
      <c r="D86" s="232" t="str">
        <f t="shared" si="2"/>
        <v>29-B</v>
      </c>
      <c r="E86" s="326" t="s">
        <v>278</v>
      </c>
      <c r="F86" s="326" t="s">
        <v>278</v>
      </c>
      <c r="G86" s="319" t="s">
        <v>278</v>
      </c>
    </row>
    <row r="87" spans="1:7">
      <c r="A87" s="266" t="s">
        <v>278</v>
      </c>
      <c r="B87" s="232">
        <v>29</v>
      </c>
      <c r="C87" s="232" t="s">
        <v>454</v>
      </c>
      <c r="D87" s="232" t="str">
        <f t="shared" si="2"/>
        <v>29-C</v>
      </c>
      <c r="E87" s="326" t="s">
        <v>278</v>
      </c>
      <c r="F87" s="326" t="s">
        <v>278</v>
      </c>
      <c r="G87" s="385" t="s">
        <v>278</v>
      </c>
    </row>
    <row r="88" spans="1:7">
      <c r="D88" s="229" t="str">
        <f t="shared" si="2"/>
        <v/>
      </c>
      <c r="G88" s="388"/>
    </row>
    <row r="89" spans="1:7">
      <c r="D89" s="229" t="str">
        <f t="shared" si="2"/>
        <v/>
      </c>
      <c r="G89" s="389"/>
    </row>
    <row r="90" spans="1:7">
      <c r="D90" s="229" t="str">
        <f t="shared" si="2"/>
        <v/>
      </c>
      <c r="G90" s="292"/>
    </row>
    <row r="91" spans="1:7">
      <c r="D91" s="229" t="str">
        <f t="shared" si="2"/>
        <v/>
      </c>
      <c r="G91" s="292"/>
    </row>
    <row r="92" spans="1:7">
      <c r="D92" s="229" t="str">
        <f t="shared" si="2"/>
        <v/>
      </c>
      <c r="G92" s="292"/>
    </row>
    <row r="93" spans="1:7">
      <c r="D93" s="229" t="str">
        <f t="shared" si="2"/>
        <v/>
      </c>
      <c r="G93" s="292"/>
    </row>
    <row r="94" spans="1:7">
      <c r="D94" s="229" t="str">
        <f t="shared" si="2"/>
        <v/>
      </c>
      <c r="G94" s="292"/>
    </row>
    <row r="95" spans="1:7">
      <c r="D95" s="229" t="str">
        <f t="shared" si="2"/>
        <v/>
      </c>
      <c r="G95" s="292"/>
    </row>
    <row r="96" spans="1:7">
      <c r="D96" s="229" t="str">
        <f t="shared" si="2"/>
        <v/>
      </c>
      <c r="G96" s="292"/>
    </row>
    <row r="97" spans="4:7">
      <c r="D97" s="229" t="str">
        <f t="shared" ref="D97:D128" si="3">IF(A97="","",CONCATENATE(B97,"-",C97))</f>
        <v/>
      </c>
      <c r="G97" s="292"/>
    </row>
    <row r="98" spans="4:7">
      <c r="D98" s="229" t="str">
        <f t="shared" si="3"/>
        <v/>
      </c>
      <c r="G98" s="292"/>
    </row>
    <row r="99" spans="4:7">
      <c r="D99" s="229" t="str">
        <f t="shared" si="3"/>
        <v/>
      </c>
      <c r="G99" s="292"/>
    </row>
    <row r="100" spans="4:7">
      <c r="D100" s="229" t="str">
        <f t="shared" si="3"/>
        <v/>
      </c>
      <c r="G100" s="292"/>
    </row>
    <row r="101" spans="4:7">
      <c r="D101" s="229" t="str">
        <f t="shared" si="3"/>
        <v/>
      </c>
      <c r="G101" s="292"/>
    </row>
    <row r="102" spans="4:7">
      <c r="D102" s="229" t="str">
        <f t="shared" si="3"/>
        <v/>
      </c>
      <c r="G102" s="292"/>
    </row>
    <row r="103" spans="4:7">
      <c r="D103" s="229" t="str">
        <f t="shared" si="3"/>
        <v/>
      </c>
      <c r="G103" s="292"/>
    </row>
    <row r="104" spans="4:7">
      <c r="D104" s="229" t="str">
        <f t="shared" si="3"/>
        <v/>
      </c>
      <c r="G104" s="292"/>
    </row>
    <row r="105" spans="4:7">
      <c r="D105" s="229" t="str">
        <f t="shared" si="3"/>
        <v/>
      </c>
      <c r="G105" s="292"/>
    </row>
    <row r="106" spans="4:7">
      <c r="D106" s="229" t="str">
        <f t="shared" si="3"/>
        <v/>
      </c>
      <c r="G106" s="292"/>
    </row>
    <row r="107" spans="4:7">
      <c r="D107" s="229" t="str">
        <f t="shared" si="3"/>
        <v/>
      </c>
      <c r="G107" s="292"/>
    </row>
    <row r="108" spans="4:7">
      <c r="D108" s="229" t="str">
        <f t="shared" si="3"/>
        <v/>
      </c>
      <c r="G108" s="292"/>
    </row>
    <row r="109" spans="4:7">
      <c r="D109" s="229" t="str">
        <f t="shared" si="3"/>
        <v/>
      </c>
      <c r="G109" s="292"/>
    </row>
    <row r="110" spans="4:7">
      <c r="D110" s="229" t="str">
        <f t="shared" si="3"/>
        <v/>
      </c>
      <c r="G110" s="292"/>
    </row>
    <row r="111" spans="4:7">
      <c r="D111" s="229" t="str">
        <f t="shared" si="3"/>
        <v/>
      </c>
      <c r="G111" s="292"/>
    </row>
    <row r="112" spans="4:7">
      <c r="D112" s="229" t="str">
        <f t="shared" si="3"/>
        <v/>
      </c>
      <c r="G112" s="292"/>
    </row>
    <row r="113" spans="4:7">
      <c r="D113" s="229" t="str">
        <f t="shared" si="3"/>
        <v/>
      </c>
      <c r="G113" s="292"/>
    </row>
    <row r="114" spans="4:7">
      <c r="D114" s="229" t="str">
        <f t="shared" si="3"/>
        <v/>
      </c>
      <c r="G114" s="292"/>
    </row>
    <row r="115" spans="4:7">
      <c r="D115" s="229" t="str">
        <f t="shared" si="3"/>
        <v/>
      </c>
      <c r="G115" s="292"/>
    </row>
    <row r="116" spans="4:7">
      <c r="D116" s="229" t="str">
        <f t="shared" si="3"/>
        <v/>
      </c>
      <c r="G116" s="292"/>
    </row>
    <row r="117" spans="4:7">
      <c r="D117" s="229" t="str">
        <f t="shared" si="3"/>
        <v/>
      </c>
      <c r="G117" s="292"/>
    </row>
    <row r="118" spans="4:7">
      <c r="D118" s="229" t="str">
        <f t="shared" si="3"/>
        <v/>
      </c>
      <c r="G118" s="292"/>
    </row>
    <row r="119" spans="4:7">
      <c r="D119" s="229" t="str">
        <f t="shared" si="3"/>
        <v/>
      </c>
      <c r="G119" s="292"/>
    </row>
    <row r="120" spans="4:7">
      <c r="D120" s="229" t="str">
        <f t="shared" si="3"/>
        <v/>
      </c>
      <c r="G120" s="292"/>
    </row>
    <row r="121" spans="4:7">
      <c r="D121" s="229" t="str">
        <f t="shared" si="3"/>
        <v/>
      </c>
      <c r="G121" s="292"/>
    </row>
    <row r="122" spans="4:7">
      <c r="D122" s="229" t="str">
        <f t="shared" si="3"/>
        <v/>
      </c>
      <c r="G122" s="292"/>
    </row>
    <row r="123" spans="4:7">
      <c r="D123" s="229" t="str">
        <f t="shared" si="3"/>
        <v/>
      </c>
      <c r="G123" s="292"/>
    </row>
    <row r="124" spans="4:7">
      <c r="D124" s="229" t="str">
        <f t="shared" si="3"/>
        <v/>
      </c>
      <c r="G124" s="292"/>
    </row>
    <row r="125" spans="4:7">
      <c r="D125" s="229" t="str">
        <f t="shared" si="3"/>
        <v/>
      </c>
      <c r="G125" s="292"/>
    </row>
    <row r="126" spans="4:7">
      <c r="D126" s="229" t="str">
        <f t="shared" si="3"/>
        <v/>
      </c>
      <c r="G126" s="292"/>
    </row>
    <row r="127" spans="4:7">
      <c r="D127" s="229" t="str">
        <f t="shared" si="3"/>
        <v/>
      </c>
      <c r="G127" s="292"/>
    </row>
    <row r="128" spans="4:7">
      <c r="D128" s="229" t="str">
        <f t="shared" si="3"/>
        <v/>
      </c>
      <c r="G128" s="292"/>
    </row>
    <row r="129" spans="4:7">
      <c r="D129" s="229" t="str">
        <f t="shared" ref="D129:D160" si="4">IF(A129="","",CONCATENATE(B129,"-",C129))</f>
        <v/>
      </c>
      <c r="G129" s="292"/>
    </row>
    <row r="130" spans="4:7">
      <c r="D130" s="229" t="str">
        <f t="shared" si="4"/>
        <v/>
      </c>
      <c r="G130" s="292"/>
    </row>
    <row r="131" spans="4:7">
      <c r="D131" s="229" t="str">
        <f t="shared" si="4"/>
        <v/>
      </c>
      <c r="G131" s="292"/>
    </row>
    <row r="132" spans="4:7">
      <c r="D132" s="229" t="str">
        <f t="shared" si="4"/>
        <v/>
      </c>
      <c r="G132" s="292"/>
    </row>
    <row r="133" spans="4:7">
      <c r="D133" s="229" t="str">
        <f t="shared" si="4"/>
        <v/>
      </c>
      <c r="G133" s="292"/>
    </row>
    <row r="134" spans="4:7">
      <c r="D134" s="229" t="str">
        <f t="shared" si="4"/>
        <v/>
      </c>
      <c r="G134" s="292"/>
    </row>
    <row r="135" spans="4:7">
      <c r="D135" s="229" t="str">
        <f t="shared" si="4"/>
        <v/>
      </c>
      <c r="G135" s="292"/>
    </row>
    <row r="136" spans="4:7">
      <c r="D136" s="229" t="str">
        <f t="shared" si="4"/>
        <v/>
      </c>
      <c r="G136" s="292"/>
    </row>
    <row r="137" spans="4:7">
      <c r="D137" s="229" t="str">
        <f t="shared" si="4"/>
        <v/>
      </c>
      <c r="G137" s="292"/>
    </row>
    <row r="138" spans="4:7">
      <c r="D138" s="229" t="str">
        <f t="shared" si="4"/>
        <v/>
      </c>
      <c r="G138" s="292"/>
    </row>
    <row r="139" spans="4:7">
      <c r="D139" s="229" t="str">
        <f t="shared" si="4"/>
        <v/>
      </c>
      <c r="G139" s="292"/>
    </row>
    <row r="140" spans="4:7">
      <c r="D140" s="229" t="str">
        <f t="shared" si="4"/>
        <v/>
      </c>
      <c r="G140" s="292"/>
    </row>
    <row r="141" spans="4:7">
      <c r="D141" s="229" t="str">
        <f t="shared" si="4"/>
        <v/>
      </c>
      <c r="G141" s="292"/>
    </row>
    <row r="142" spans="4:7">
      <c r="D142" s="229" t="str">
        <f t="shared" si="4"/>
        <v/>
      </c>
      <c r="G142" s="292"/>
    </row>
    <row r="143" spans="4:7">
      <c r="D143" s="229" t="str">
        <f t="shared" si="4"/>
        <v/>
      </c>
      <c r="G143" s="292"/>
    </row>
    <row r="144" spans="4:7">
      <c r="D144" s="229" t="str">
        <f t="shared" si="4"/>
        <v/>
      </c>
      <c r="G144" s="292"/>
    </row>
    <row r="145" spans="4:7">
      <c r="D145" s="229" t="str">
        <f t="shared" si="4"/>
        <v/>
      </c>
      <c r="G145" s="292"/>
    </row>
    <row r="146" spans="4:7">
      <c r="D146" s="229" t="str">
        <f t="shared" si="4"/>
        <v/>
      </c>
      <c r="G146" s="292"/>
    </row>
    <row r="147" spans="4:7">
      <c r="D147" s="229" t="str">
        <f t="shared" si="4"/>
        <v/>
      </c>
      <c r="G147" s="292"/>
    </row>
    <row r="148" spans="4:7">
      <c r="D148" s="229" t="str">
        <f t="shared" si="4"/>
        <v/>
      </c>
      <c r="G148" s="292"/>
    </row>
    <row r="149" spans="4:7">
      <c r="D149" s="229" t="str">
        <f t="shared" si="4"/>
        <v/>
      </c>
      <c r="G149" s="292"/>
    </row>
    <row r="150" spans="4:7">
      <c r="D150" s="229" t="str">
        <f t="shared" si="4"/>
        <v/>
      </c>
      <c r="G150" s="292"/>
    </row>
    <row r="151" spans="4:7">
      <c r="D151" s="229" t="str">
        <f t="shared" si="4"/>
        <v/>
      </c>
      <c r="G151" s="292"/>
    </row>
    <row r="152" spans="4:7">
      <c r="D152" s="229" t="str">
        <f t="shared" si="4"/>
        <v/>
      </c>
      <c r="G152" s="292"/>
    </row>
    <row r="153" spans="4:7">
      <c r="D153" s="229" t="str">
        <f t="shared" si="4"/>
        <v/>
      </c>
      <c r="G153" s="292"/>
    </row>
    <row r="154" spans="4:7">
      <c r="D154" s="229" t="str">
        <f t="shared" si="4"/>
        <v/>
      </c>
      <c r="G154" s="292"/>
    </row>
    <row r="155" spans="4:7">
      <c r="D155" s="229" t="str">
        <f t="shared" si="4"/>
        <v/>
      </c>
      <c r="G155" s="292"/>
    </row>
    <row r="156" spans="4:7">
      <c r="D156" s="229" t="str">
        <f t="shared" si="4"/>
        <v/>
      </c>
      <c r="G156" s="292"/>
    </row>
    <row r="157" spans="4:7">
      <c r="D157" s="229" t="str">
        <f t="shared" si="4"/>
        <v/>
      </c>
      <c r="G157" s="292"/>
    </row>
    <row r="158" spans="4:7">
      <c r="D158" s="229" t="str">
        <f t="shared" si="4"/>
        <v/>
      </c>
      <c r="G158" s="292"/>
    </row>
    <row r="159" spans="4:7">
      <c r="D159" s="229" t="str">
        <f t="shared" si="4"/>
        <v/>
      </c>
      <c r="G159" s="292" t="s">
        <v>670</v>
      </c>
    </row>
    <row r="160" spans="4:7">
      <c r="D160" s="229" t="str">
        <f t="shared" si="4"/>
        <v/>
      </c>
      <c r="G160" s="292" t="s">
        <v>670</v>
      </c>
    </row>
    <row r="161" spans="4:7">
      <c r="D161" s="229" t="str">
        <f t="shared" ref="D161:D169" si="5">IF(A161="","",CONCATENATE(B161,"-",C161))</f>
        <v/>
      </c>
      <c r="G161" s="292" t="s">
        <v>670</v>
      </c>
    </row>
    <row r="162" spans="4:7">
      <c r="D162" s="229" t="str">
        <f t="shared" si="5"/>
        <v/>
      </c>
      <c r="G162" s="292" t="s">
        <v>670</v>
      </c>
    </row>
    <row r="163" spans="4:7">
      <c r="D163" s="229" t="str">
        <f t="shared" si="5"/>
        <v/>
      </c>
      <c r="G163" s="292" t="s">
        <v>670</v>
      </c>
    </row>
    <row r="164" spans="4:7">
      <c r="D164" s="229" t="str">
        <f t="shared" si="5"/>
        <v/>
      </c>
      <c r="G164" s="292" t="s">
        <v>670</v>
      </c>
    </row>
    <row r="165" spans="4:7">
      <c r="D165" s="229" t="str">
        <f t="shared" si="5"/>
        <v/>
      </c>
      <c r="G165" s="292" t="s">
        <v>670</v>
      </c>
    </row>
    <row r="166" spans="4:7">
      <c r="D166" s="229" t="str">
        <f t="shared" si="5"/>
        <v/>
      </c>
      <c r="G166" s="292" t="s">
        <v>670</v>
      </c>
    </row>
    <row r="167" spans="4:7">
      <c r="D167" s="229" t="str">
        <f t="shared" si="5"/>
        <v/>
      </c>
      <c r="G167" s="292" t="s">
        <v>670</v>
      </c>
    </row>
    <row r="168" spans="4:7">
      <c r="D168" s="229" t="str">
        <f t="shared" si="5"/>
        <v/>
      </c>
      <c r="G168" s="292" t="s">
        <v>670</v>
      </c>
    </row>
    <row r="169" spans="4:7">
      <c r="D169" s="229" t="str">
        <f t="shared" si="5"/>
        <v/>
      </c>
      <c r="G169" s="292" t="s">
        <v>670</v>
      </c>
    </row>
  </sheetData>
  <conditionalFormatting sqref="A1 A84:F84 G19:XFD19 H3:XFD3 D1:D2 D12:XFD12 D20:XFD21 D48 A14 D53:F54 F1:XFD2 D4:D5 F4:XFD5 A21 D10:XFD10 D14:XFD15 D17:XFD18 G16:XFD16 A23:A24 D23:XFD24 G22:XFD22 D26:XFD27 G25:XFD25 A26:A27 A39 D39:XFD39 A29:A30 A53:A54 D57:F57 D59:F60 A63 D63:F63 D66:F66 A68:A69 D68:F69 D74:F75 A74:A75 A77:A78 D77:F78 C80:F83 D71:F72 A71:A72 A170:XFD1048576 C85:F85 A86:F169 G6:XFD8 G9:H9 J9:XFD9 A12 G13:J13 L13:XFD13 G11:XFD11 G28:L28 N28:XFD28 D29:XFD30 G36:XFD38 I35:XFD35 G35 H34:XFD34 G31:XFD33 G40:XFD169">
    <cfRule type="timePeriod" dxfId="110" priority="16" timePeriod="nextMonth">
      <formula>AND(MONTH(A1)=MONTH(EDATE(TODAY(),0+1)),YEAR(A1)=YEAR(EDATE(TODAY(),0+1)))</formula>
    </cfRule>
    <cfRule type="timePeriod" dxfId="109" priority="17" timePeriod="thisWeek">
      <formula>AND(TODAY()-ROUNDDOWN(A1,0)&lt;=WEEKDAY(TODAY())-1,ROUNDDOWN(A1,0)-TODAY()&lt;=7-WEEKDAY(TODAY()))</formula>
    </cfRule>
    <cfRule type="timePeriod" dxfId="108" priority="18" timePeriod="thisMonth">
      <formula>AND(MONTH(A1)=MONTH(TODAY()),YEAR(A1)=YEAR(TODAY()))</formula>
    </cfRule>
    <cfRule type="timePeriod" dxfId="107" priority="19" timePeriod="thisWeek">
      <formula>AND(TODAY()-ROUNDDOWN(A1,0)&lt;=WEEKDAY(TODAY())-1,ROUNDDOWN(A1,0)-TODAY()&lt;=7-WEEKDAY(TODAY()))</formula>
    </cfRule>
  </conditionalFormatting>
  <conditionalFormatting sqref="H42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{AE542180-B1A6-409F-A3EE-5DB91E61F109}</x14:id>
        </ext>
      </extLst>
    </cfRule>
    <cfRule type="colorScale" priority="1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G2 D2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G2 D2 G6 F4:G5 G3 D4:D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 A14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:A15 A12 A17:A18 A20:A21 A23:A24 A26:A27 A39 A29:A30 A53:A54 A63 A68:A69 A74:A75 A77:A78 A84 A71:A7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362204722" right="0.51181102362204722" top="0.78740157480314965" bottom="0.78740157480314965" header="0.31496062992125984" footer="0.31496062992125984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542180-B1A6-409F-A3EE-5DB91E61F1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67"/>
  <sheetViews>
    <sheetView topLeftCell="A109" workbookViewId="0">
      <selection activeCell="C123" sqref="C123"/>
    </sheetView>
  </sheetViews>
  <sheetFormatPr defaultRowHeight="14.4"/>
  <cols>
    <col min="1" max="1" width="10.6640625" bestFit="1" customWidth="1"/>
    <col min="2" max="2" width="10.33203125" bestFit="1" customWidth="1"/>
    <col min="3" max="3" width="72" bestFit="1" customWidth="1"/>
    <col min="4" max="4" width="13.44140625" bestFit="1" customWidth="1"/>
  </cols>
  <sheetData>
    <row r="1" spans="1:4">
      <c r="A1" s="264" t="s">
        <v>459</v>
      </c>
      <c r="B1" s="264" t="s">
        <v>555</v>
      </c>
      <c r="C1" s="264" t="s">
        <v>565</v>
      </c>
      <c r="D1" s="264" t="s">
        <v>458</v>
      </c>
    </row>
    <row r="2" spans="1:4">
      <c r="A2" s="265">
        <v>1452944</v>
      </c>
      <c r="B2" s="265" t="s">
        <v>308</v>
      </c>
      <c r="C2" s="265" t="s">
        <v>118</v>
      </c>
      <c r="D2" s="265" t="s">
        <v>472</v>
      </c>
    </row>
    <row r="3" spans="1:4">
      <c r="A3" s="265">
        <v>3844468</v>
      </c>
      <c r="B3" s="265" t="s">
        <v>473</v>
      </c>
      <c r="C3" s="265" t="s">
        <v>566</v>
      </c>
      <c r="D3" s="265" t="s">
        <v>472</v>
      </c>
    </row>
    <row r="4" spans="1:4">
      <c r="A4" s="232">
        <v>7985563</v>
      </c>
      <c r="B4" s="232" t="s">
        <v>308</v>
      </c>
      <c r="C4" s="232" t="s">
        <v>240</v>
      </c>
      <c r="D4" s="232" t="s">
        <v>474</v>
      </c>
    </row>
    <row r="5" spans="1:4">
      <c r="A5" s="265">
        <v>2134218</v>
      </c>
      <c r="B5" s="265" t="s">
        <v>308</v>
      </c>
      <c r="C5" s="265"/>
      <c r="D5" s="265" t="s">
        <v>475</v>
      </c>
    </row>
    <row r="6" spans="1:4">
      <c r="A6" s="232">
        <v>1453043</v>
      </c>
      <c r="B6" s="232" t="s">
        <v>308</v>
      </c>
      <c r="C6" s="232" t="s">
        <v>239</v>
      </c>
      <c r="D6" s="232" t="s">
        <v>476</v>
      </c>
    </row>
    <row r="7" spans="1:4">
      <c r="A7" s="232">
        <v>8880814</v>
      </c>
      <c r="B7" s="232" t="s">
        <v>473</v>
      </c>
      <c r="C7" s="232" t="s">
        <v>277</v>
      </c>
      <c r="D7" s="232" t="s">
        <v>476</v>
      </c>
    </row>
    <row r="8" spans="1:4">
      <c r="A8" s="265">
        <v>7341852</v>
      </c>
      <c r="B8" s="265" t="s">
        <v>308</v>
      </c>
      <c r="C8" s="265" t="s">
        <v>567</v>
      </c>
      <c r="D8" s="265" t="s">
        <v>477</v>
      </c>
    </row>
    <row r="9" spans="1:4">
      <c r="A9" s="232">
        <v>1676512</v>
      </c>
      <c r="B9" s="232" t="s">
        <v>308</v>
      </c>
      <c r="C9" s="232"/>
      <c r="D9" s="232" t="s">
        <v>478</v>
      </c>
    </row>
    <row r="10" spans="1:4">
      <c r="A10" s="265">
        <v>1452803</v>
      </c>
      <c r="B10" s="265" t="s">
        <v>308</v>
      </c>
      <c r="C10" s="265" t="s">
        <v>568</v>
      </c>
      <c r="D10" s="265" t="s">
        <v>479</v>
      </c>
    </row>
    <row r="11" spans="1:4">
      <c r="A11" s="265">
        <v>6308460</v>
      </c>
      <c r="B11" s="265" t="s">
        <v>473</v>
      </c>
      <c r="C11" s="265" t="s">
        <v>128</v>
      </c>
      <c r="D11" s="265" t="s">
        <v>479</v>
      </c>
    </row>
    <row r="12" spans="1:4">
      <c r="A12" s="265">
        <v>1970883</v>
      </c>
      <c r="B12" s="265" t="s">
        <v>473</v>
      </c>
      <c r="C12" s="265" t="s">
        <v>128</v>
      </c>
      <c r="D12" s="265" t="s">
        <v>479</v>
      </c>
    </row>
    <row r="13" spans="1:4">
      <c r="A13" s="265">
        <v>1453154</v>
      </c>
      <c r="B13" s="265" t="s">
        <v>473</v>
      </c>
      <c r="C13" s="265" t="s">
        <v>128</v>
      </c>
      <c r="D13" s="265" t="s">
        <v>479</v>
      </c>
    </row>
    <row r="14" spans="1:4">
      <c r="A14" s="232">
        <v>8073826</v>
      </c>
      <c r="B14" s="232" t="s">
        <v>308</v>
      </c>
      <c r="C14" s="232" t="s">
        <v>209</v>
      </c>
      <c r="D14" s="232" t="s">
        <v>480</v>
      </c>
    </row>
    <row r="15" spans="1:4">
      <c r="A15" s="232">
        <v>6590453</v>
      </c>
      <c r="B15" s="232" t="s">
        <v>473</v>
      </c>
      <c r="C15" s="232" t="s">
        <v>209</v>
      </c>
      <c r="D15" s="232" t="s">
        <v>480</v>
      </c>
    </row>
    <row r="16" spans="1:4">
      <c r="A16" s="232">
        <v>1452808</v>
      </c>
      <c r="B16" s="232" t="s">
        <v>473</v>
      </c>
      <c r="C16" s="232" t="s">
        <v>209</v>
      </c>
      <c r="D16" s="232" t="s">
        <v>480</v>
      </c>
    </row>
    <row r="17" spans="1:4">
      <c r="A17" s="265">
        <v>1453453</v>
      </c>
      <c r="B17" s="265" t="s">
        <v>308</v>
      </c>
      <c r="C17" s="265" t="s">
        <v>569</v>
      </c>
      <c r="D17" s="265" t="s">
        <v>481</v>
      </c>
    </row>
    <row r="18" spans="1:4">
      <c r="A18" s="265">
        <v>3258154</v>
      </c>
      <c r="B18" s="265" t="s">
        <v>473</v>
      </c>
      <c r="C18" s="265" t="s">
        <v>569</v>
      </c>
      <c r="D18" s="265" t="s">
        <v>481</v>
      </c>
    </row>
    <row r="19" spans="1:4">
      <c r="A19" s="232">
        <v>4379651</v>
      </c>
      <c r="B19" s="232" t="s">
        <v>308</v>
      </c>
      <c r="C19" s="232" t="s">
        <v>249</v>
      </c>
      <c r="D19" s="232" t="s">
        <v>482</v>
      </c>
    </row>
    <row r="20" spans="1:4">
      <c r="A20" s="232">
        <v>9116664</v>
      </c>
      <c r="B20" s="232" t="s">
        <v>473</v>
      </c>
      <c r="C20" s="232" t="s">
        <v>263</v>
      </c>
      <c r="D20" s="232" t="s">
        <v>482</v>
      </c>
    </row>
    <row r="21" spans="1:4">
      <c r="A21" s="232">
        <v>7790453</v>
      </c>
      <c r="B21" s="232" t="s">
        <v>473</v>
      </c>
      <c r="C21" s="232" t="s">
        <v>263</v>
      </c>
      <c r="D21" s="232" t="s">
        <v>482</v>
      </c>
    </row>
    <row r="22" spans="1:4">
      <c r="A22" s="232">
        <v>1452798</v>
      </c>
      <c r="B22" s="232" t="s">
        <v>473</v>
      </c>
      <c r="C22" s="232" t="s">
        <v>570</v>
      </c>
      <c r="D22" s="232" t="s">
        <v>482</v>
      </c>
    </row>
    <row r="23" spans="1:4">
      <c r="A23" s="232">
        <v>9111664</v>
      </c>
      <c r="B23" s="232" t="s">
        <v>473</v>
      </c>
      <c r="C23" s="232" t="s">
        <v>570</v>
      </c>
      <c r="D23" s="232" t="s">
        <v>482</v>
      </c>
    </row>
    <row r="24" spans="1:4">
      <c r="A24" s="232">
        <v>1452790</v>
      </c>
      <c r="B24" s="232" t="s">
        <v>473</v>
      </c>
      <c r="C24" s="232" t="s">
        <v>263</v>
      </c>
      <c r="D24" s="232" t="s">
        <v>482</v>
      </c>
    </row>
    <row r="25" spans="1:4">
      <c r="A25" s="265">
        <v>13864</v>
      </c>
      <c r="B25" s="265" t="s">
        <v>308</v>
      </c>
      <c r="C25" s="265" t="s">
        <v>161</v>
      </c>
      <c r="D25" s="265" t="s">
        <v>483</v>
      </c>
    </row>
    <row r="26" spans="1:4">
      <c r="A26" s="232">
        <v>1453152</v>
      </c>
      <c r="B26" s="232" t="s">
        <v>308</v>
      </c>
      <c r="C26" s="232" t="s">
        <v>120</v>
      </c>
      <c r="D26" s="232" t="s">
        <v>484</v>
      </c>
    </row>
    <row r="27" spans="1:4">
      <c r="A27" s="232">
        <v>8095100</v>
      </c>
      <c r="B27" s="232" t="s">
        <v>473</v>
      </c>
      <c r="C27" s="232" t="s">
        <v>120</v>
      </c>
      <c r="D27" s="232" t="s">
        <v>484</v>
      </c>
    </row>
    <row r="28" spans="1:4">
      <c r="A28" s="265">
        <v>91721</v>
      </c>
      <c r="B28" s="265" t="s">
        <v>308</v>
      </c>
      <c r="C28" s="265" t="s">
        <v>107</v>
      </c>
      <c r="D28" s="265" t="s">
        <v>485</v>
      </c>
    </row>
    <row r="29" spans="1:4">
      <c r="A29" s="232">
        <v>6495750</v>
      </c>
      <c r="B29" s="232" t="s">
        <v>308</v>
      </c>
      <c r="C29" s="232" t="s">
        <v>571</v>
      </c>
      <c r="D29" s="232" t="s">
        <v>486</v>
      </c>
    </row>
    <row r="30" spans="1:4">
      <c r="A30" s="232">
        <v>7618263</v>
      </c>
      <c r="B30" s="232" t="s">
        <v>473</v>
      </c>
      <c r="C30" s="232" t="s">
        <v>242</v>
      </c>
      <c r="D30" s="232" t="s">
        <v>486</v>
      </c>
    </row>
    <row r="31" spans="1:4">
      <c r="A31" s="232">
        <v>3495763</v>
      </c>
      <c r="B31" s="232" t="s">
        <v>473</v>
      </c>
      <c r="C31" s="232" t="s">
        <v>572</v>
      </c>
      <c r="D31" s="232" t="s">
        <v>486</v>
      </c>
    </row>
    <row r="32" spans="1:4">
      <c r="A32" s="232">
        <v>19308</v>
      </c>
      <c r="B32" s="232" t="s">
        <v>473</v>
      </c>
      <c r="C32" s="232" t="s">
        <v>573</v>
      </c>
      <c r="D32" s="232" t="s">
        <v>486</v>
      </c>
    </row>
    <row r="33" spans="1:4">
      <c r="A33" s="232">
        <v>7485529</v>
      </c>
      <c r="B33" s="232" t="s">
        <v>473</v>
      </c>
      <c r="C33" s="232" t="s">
        <v>242</v>
      </c>
      <c r="D33" s="232" t="s">
        <v>486</v>
      </c>
    </row>
    <row r="34" spans="1:4">
      <c r="A34" s="265">
        <v>1453485</v>
      </c>
      <c r="B34" s="265" t="s">
        <v>308</v>
      </c>
      <c r="C34" s="265" t="s">
        <v>574</v>
      </c>
      <c r="D34" s="265" t="s">
        <v>487</v>
      </c>
    </row>
    <row r="35" spans="1:4">
      <c r="A35" s="265">
        <v>1938338</v>
      </c>
      <c r="B35" s="265" t="s">
        <v>473</v>
      </c>
      <c r="C35" s="265" t="s">
        <v>575</v>
      </c>
      <c r="D35" s="265" t="s">
        <v>487</v>
      </c>
    </row>
    <row r="36" spans="1:4">
      <c r="A36" s="232">
        <v>1452967</v>
      </c>
      <c r="B36" s="232" t="s">
        <v>308</v>
      </c>
      <c r="C36" s="232" t="s">
        <v>165</v>
      </c>
      <c r="D36" s="232" t="s">
        <v>488</v>
      </c>
    </row>
    <row r="37" spans="1:4">
      <c r="A37" s="232">
        <v>7936525</v>
      </c>
      <c r="B37" s="232" t="s">
        <v>473</v>
      </c>
      <c r="C37" s="232" t="s">
        <v>165</v>
      </c>
      <c r="D37" s="232" t="s">
        <v>488</v>
      </c>
    </row>
    <row r="38" spans="1:4">
      <c r="A38" s="265">
        <v>7066163</v>
      </c>
      <c r="B38" s="265" t="s">
        <v>308</v>
      </c>
      <c r="C38" s="265" t="s">
        <v>576</v>
      </c>
      <c r="D38" s="265" t="s">
        <v>489</v>
      </c>
    </row>
    <row r="39" spans="1:4">
      <c r="A39" s="232">
        <v>116897</v>
      </c>
      <c r="B39" s="232" t="s">
        <v>308</v>
      </c>
      <c r="C39" s="232" t="s">
        <v>183</v>
      </c>
      <c r="D39" s="232" t="s">
        <v>490</v>
      </c>
    </row>
    <row r="40" spans="1:4">
      <c r="A40" s="232">
        <v>1938350</v>
      </c>
      <c r="B40" s="232" t="s">
        <v>473</v>
      </c>
      <c r="C40" s="232" t="s">
        <v>191</v>
      </c>
      <c r="D40" s="232" t="s">
        <v>490</v>
      </c>
    </row>
    <row r="41" spans="1:4">
      <c r="A41" s="232">
        <v>1453157</v>
      </c>
      <c r="B41" s="232" t="s">
        <v>473</v>
      </c>
      <c r="C41" s="232" t="s">
        <v>183</v>
      </c>
      <c r="D41" s="232" t="s">
        <v>490</v>
      </c>
    </row>
    <row r="42" spans="1:4">
      <c r="A42" s="265">
        <v>1453397</v>
      </c>
      <c r="B42" s="265" t="s">
        <v>308</v>
      </c>
      <c r="C42" s="265" t="s">
        <v>124</v>
      </c>
      <c r="D42" s="265" t="s">
        <v>491</v>
      </c>
    </row>
    <row r="43" spans="1:4">
      <c r="A43" s="265">
        <v>7494592</v>
      </c>
      <c r="B43" s="265" t="s">
        <v>473</v>
      </c>
      <c r="C43" s="265" t="s">
        <v>124</v>
      </c>
      <c r="D43" s="265" t="s">
        <v>491</v>
      </c>
    </row>
    <row r="44" spans="1:4">
      <c r="A44" s="232">
        <v>1454330</v>
      </c>
      <c r="B44" s="232" t="s">
        <v>308</v>
      </c>
      <c r="C44" s="232" t="s">
        <v>156</v>
      </c>
      <c r="D44" s="232" t="s">
        <v>492</v>
      </c>
    </row>
    <row r="45" spans="1:4">
      <c r="A45" s="232">
        <v>9504711</v>
      </c>
      <c r="B45" s="232" t="s">
        <v>473</v>
      </c>
      <c r="C45" s="232" t="s">
        <v>577</v>
      </c>
      <c r="D45" s="232" t="s">
        <v>492</v>
      </c>
    </row>
    <row r="46" spans="1:4">
      <c r="A46" s="265">
        <v>479125</v>
      </c>
      <c r="B46" s="265" t="s">
        <v>308</v>
      </c>
      <c r="C46" s="265"/>
      <c r="D46" s="265" t="s">
        <v>493</v>
      </c>
    </row>
    <row r="47" spans="1:4">
      <c r="A47" s="232">
        <v>1453445</v>
      </c>
      <c r="B47" s="232" t="s">
        <v>308</v>
      </c>
      <c r="C47" s="232" t="s">
        <v>578</v>
      </c>
      <c r="D47" s="232" t="s">
        <v>494</v>
      </c>
    </row>
    <row r="48" spans="1:4">
      <c r="A48" s="232">
        <v>2282792</v>
      </c>
      <c r="B48" s="232" t="s">
        <v>473</v>
      </c>
      <c r="C48" s="232" t="s">
        <v>579</v>
      </c>
      <c r="D48" s="232" t="s">
        <v>494</v>
      </c>
    </row>
    <row r="49" spans="1:4">
      <c r="A49" s="265">
        <v>1452958</v>
      </c>
      <c r="B49" s="265" t="s">
        <v>308</v>
      </c>
      <c r="C49" s="265" t="s">
        <v>74</v>
      </c>
      <c r="D49" s="265" t="s">
        <v>495</v>
      </c>
    </row>
    <row r="50" spans="1:4">
      <c r="A50" s="265">
        <v>9926752</v>
      </c>
      <c r="B50" s="265" t="s">
        <v>473</v>
      </c>
      <c r="C50" s="265" t="s">
        <v>74</v>
      </c>
      <c r="D50" s="265" t="s">
        <v>495</v>
      </c>
    </row>
    <row r="51" spans="1:4">
      <c r="A51" s="265">
        <v>5495115</v>
      </c>
      <c r="B51" s="265" t="s">
        <v>473</v>
      </c>
      <c r="C51" s="265" t="s">
        <v>580</v>
      </c>
      <c r="D51" s="265" t="s">
        <v>495</v>
      </c>
    </row>
    <row r="52" spans="1:4">
      <c r="A52" s="232">
        <v>5582266</v>
      </c>
      <c r="B52" s="232" t="s">
        <v>308</v>
      </c>
      <c r="C52" s="232" t="s">
        <v>278</v>
      </c>
      <c r="D52" s="232" t="s">
        <v>496</v>
      </c>
    </row>
    <row r="53" spans="1:4">
      <c r="A53" s="265" t="s">
        <v>559</v>
      </c>
      <c r="B53" s="265" t="s">
        <v>278</v>
      </c>
      <c r="C53" s="265" t="s">
        <v>278</v>
      </c>
      <c r="D53" s="265" t="s">
        <v>497</v>
      </c>
    </row>
    <row r="54" spans="1:4">
      <c r="A54" s="232">
        <v>6336553</v>
      </c>
      <c r="B54" s="232" t="s">
        <v>308</v>
      </c>
      <c r="C54" s="232" t="s">
        <v>581</v>
      </c>
      <c r="D54" s="232" t="s">
        <v>498</v>
      </c>
    </row>
    <row r="55" spans="1:4">
      <c r="A55" s="265">
        <v>1452815</v>
      </c>
      <c r="B55" s="265" t="s">
        <v>308</v>
      </c>
      <c r="C55" s="265" t="s">
        <v>48</v>
      </c>
      <c r="D55" s="265" t="s">
        <v>499</v>
      </c>
    </row>
    <row r="56" spans="1:4">
      <c r="A56" s="265">
        <v>7635203</v>
      </c>
      <c r="B56" s="265" t="s">
        <v>473</v>
      </c>
      <c r="C56" s="265" t="s">
        <v>48</v>
      </c>
      <c r="D56" s="265" t="s">
        <v>499</v>
      </c>
    </row>
    <row r="57" spans="1:4">
      <c r="A57" s="265">
        <v>2182101</v>
      </c>
      <c r="B57" s="265" t="s">
        <v>473</v>
      </c>
      <c r="C57" s="265" t="s">
        <v>48</v>
      </c>
      <c r="D57" s="265" t="s">
        <v>499</v>
      </c>
    </row>
    <row r="58" spans="1:4">
      <c r="A58" s="232">
        <v>1455401</v>
      </c>
      <c r="B58" s="232" t="s">
        <v>308</v>
      </c>
      <c r="C58" s="232" t="s">
        <v>170</v>
      </c>
      <c r="D58" s="232" t="s">
        <v>500</v>
      </c>
    </row>
    <row r="59" spans="1:4">
      <c r="A59" s="232">
        <v>9521032</v>
      </c>
      <c r="B59" s="232" t="s">
        <v>473</v>
      </c>
      <c r="C59" s="232" t="s">
        <v>582</v>
      </c>
      <c r="D59" s="232" t="s">
        <v>500</v>
      </c>
    </row>
    <row r="60" spans="1:4">
      <c r="A60" s="265">
        <v>1452745</v>
      </c>
      <c r="B60" s="265" t="s">
        <v>308</v>
      </c>
      <c r="C60" s="265" t="s">
        <v>81</v>
      </c>
      <c r="D60" s="265" t="s">
        <v>501</v>
      </c>
    </row>
    <row r="61" spans="1:4">
      <c r="A61" s="265">
        <v>402415</v>
      </c>
      <c r="B61" s="265" t="s">
        <v>473</v>
      </c>
      <c r="C61" s="265"/>
      <c r="D61" s="265" t="s">
        <v>501</v>
      </c>
    </row>
    <row r="62" spans="1:4">
      <c r="A62" s="265">
        <v>7950283</v>
      </c>
      <c r="B62" s="265" t="s">
        <v>473</v>
      </c>
      <c r="C62" s="265" t="s">
        <v>81</v>
      </c>
      <c r="D62" s="265" t="s">
        <v>501</v>
      </c>
    </row>
    <row r="63" spans="1:4">
      <c r="A63" s="265">
        <v>5358558</v>
      </c>
      <c r="B63" s="265" t="s">
        <v>473</v>
      </c>
      <c r="C63" s="265" t="s">
        <v>81</v>
      </c>
      <c r="D63" s="265" t="s">
        <v>501</v>
      </c>
    </row>
    <row r="64" spans="1:4">
      <c r="A64" s="265">
        <v>1453776</v>
      </c>
      <c r="B64" s="265" t="s">
        <v>473</v>
      </c>
      <c r="C64" s="265" t="s">
        <v>81</v>
      </c>
      <c r="D64" s="265" t="s">
        <v>501</v>
      </c>
    </row>
    <row r="65" spans="1:4">
      <c r="A65" s="232">
        <v>117980</v>
      </c>
      <c r="B65" s="232" t="s">
        <v>308</v>
      </c>
      <c r="C65" s="232" t="s">
        <v>194</v>
      </c>
      <c r="D65" s="232" t="s">
        <v>502</v>
      </c>
    </row>
    <row r="66" spans="1:4">
      <c r="A66" s="232">
        <v>1791326</v>
      </c>
      <c r="B66" s="232" t="s">
        <v>473</v>
      </c>
      <c r="C66" s="232" t="s">
        <v>194</v>
      </c>
      <c r="D66" s="232" t="s">
        <v>502</v>
      </c>
    </row>
    <row r="67" spans="1:4">
      <c r="A67" s="265">
        <v>1452910</v>
      </c>
      <c r="B67" s="265" t="s">
        <v>308</v>
      </c>
      <c r="C67" s="265" t="s">
        <v>95</v>
      </c>
      <c r="D67" s="265" t="s">
        <v>503</v>
      </c>
    </row>
    <row r="68" spans="1:4">
      <c r="A68" s="265">
        <v>3425296</v>
      </c>
      <c r="B68" s="265" t="s">
        <v>473</v>
      </c>
      <c r="C68" s="265" t="s">
        <v>95</v>
      </c>
      <c r="D68" s="265" t="s">
        <v>503</v>
      </c>
    </row>
    <row r="69" spans="1:4">
      <c r="A69" s="232">
        <v>1453048</v>
      </c>
      <c r="B69" s="232" t="s">
        <v>308</v>
      </c>
      <c r="C69" s="232" t="s">
        <v>157</v>
      </c>
      <c r="D69" s="232" t="s">
        <v>504</v>
      </c>
    </row>
    <row r="70" spans="1:4">
      <c r="A70" s="232">
        <v>7936519</v>
      </c>
      <c r="B70" s="232" t="s">
        <v>473</v>
      </c>
      <c r="C70" s="232" t="s">
        <v>157</v>
      </c>
      <c r="D70" s="232" t="s">
        <v>504</v>
      </c>
    </row>
    <row r="71" spans="1:4">
      <c r="A71" s="265">
        <v>1452911</v>
      </c>
      <c r="B71" s="265" t="s">
        <v>308</v>
      </c>
      <c r="C71" s="265" t="s">
        <v>97</v>
      </c>
      <c r="D71" s="265" t="s">
        <v>505</v>
      </c>
    </row>
    <row r="72" spans="1:4">
      <c r="A72" s="265">
        <v>3424181</v>
      </c>
      <c r="B72" s="265" t="s">
        <v>473</v>
      </c>
      <c r="C72" s="265" t="s">
        <v>97</v>
      </c>
      <c r="D72" s="265" t="s">
        <v>505</v>
      </c>
    </row>
    <row r="73" spans="1:4">
      <c r="A73" s="232">
        <v>1452987</v>
      </c>
      <c r="B73" s="232" t="s">
        <v>308</v>
      </c>
      <c r="C73" s="232" t="s">
        <v>168</v>
      </c>
      <c r="D73" s="232" t="s">
        <v>506</v>
      </c>
    </row>
    <row r="74" spans="1:4">
      <c r="A74" s="232">
        <v>1655881</v>
      </c>
      <c r="B74" s="232" t="s">
        <v>473</v>
      </c>
      <c r="C74" s="232" t="s">
        <v>168</v>
      </c>
      <c r="D74" s="232" t="s">
        <v>506</v>
      </c>
    </row>
    <row r="75" spans="1:4">
      <c r="A75" s="265">
        <v>1096172</v>
      </c>
      <c r="B75" s="265" t="s">
        <v>308</v>
      </c>
      <c r="C75" s="265"/>
      <c r="D75" s="265" t="s">
        <v>507</v>
      </c>
    </row>
    <row r="76" spans="1:4">
      <c r="A76" s="232">
        <v>1727779</v>
      </c>
      <c r="B76" s="232" t="s">
        <v>308</v>
      </c>
      <c r="C76" s="232" t="s">
        <v>173</v>
      </c>
      <c r="D76" s="232" t="s">
        <v>508</v>
      </c>
    </row>
    <row r="77" spans="1:4">
      <c r="A77" s="265">
        <v>6572286</v>
      </c>
      <c r="B77" s="265" t="s">
        <v>308</v>
      </c>
      <c r="C77" s="265" t="s">
        <v>148</v>
      </c>
      <c r="D77" s="265" t="s">
        <v>509</v>
      </c>
    </row>
    <row r="78" spans="1:4">
      <c r="A78" s="232">
        <v>1453317</v>
      </c>
      <c r="B78" s="232" t="s">
        <v>308</v>
      </c>
      <c r="C78" s="232" t="s">
        <v>113</v>
      </c>
      <c r="D78" s="232" t="s">
        <v>510</v>
      </c>
    </row>
    <row r="79" spans="1:4">
      <c r="A79" s="232">
        <v>1845418</v>
      </c>
      <c r="B79" s="232" t="s">
        <v>473</v>
      </c>
      <c r="C79" s="232" t="s">
        <v>583</v>
      </c>
      <c r="D79" s="232" t="s">
        <v>510</v>
      </c>
    </row>
    <row r="80" spans="1:4">
      <c r="A80" s="232">
        <v>1019849</v>
      </c>
      <c r="B80" s="232" t="s">
        <v>473</v>
      </c>
      <c r="C80" s="232" t="s">
        <v>113</v>
      </c>
      <c r="D80" s="232" t="s">
        <v>510</v>
      </c>
    </row>
    <row r="81" spans="1:4">
      <c r="A81" s="232">
        <v>1717243</v>
      </c>
      <c r="B81" s="232" t="s">
        <v>473</v>
      </c>
      <c r="C81" s="232" t="s">
        <v>584</v>
      </c>
      <c r="D81" s="232" t="s">
        <v>510</v>
      </c>
    </row>
    <row r="82" spans="1:4">
      <c r="A82" s="265">
        <v>1780630</v>
      </c>
      <c r="B82" s="265" t="s">
        <v>308</v>
      </c>
      <c r="C82" s="265" t="s">
        <v>585</v>
      </c>
      <c r="D82" s="265" t="s">
        <v>511</v>
      </c>
    </row>
    <row r="83" spans="1:4">
      <c r="A83" s="232">
        <v>645324</v>
      </c>
      <c r="B83" s="232" t="s">
        <v>308</v>
      </c>
      <c r="C83" s="232" t="s">
        <v>109</v>
      </c>
      <c r="D83" s="232" t="s">
        <v>512</v>
      </c>
    </row>
    <row r="84" spans="1:4">
      <c r="A84" s="265">
        <v>1452784</v>
      </c>
      <c r="B84" s="265" t="s">
        <v>308</v>
      </c>
      <c r="C84" s="265" t="s">
        <v>86</v>
      </c>
      <c r="D84" s="265" t="s">
        <v>513</v>
      </c>
    </row>
    <row r="85" spans="1:4">
      <c r="A85" s="265">
        <v>4785449</v>
      </c>
      <c r="B85" s="265" t="s">
        <v>473</v>
      </c>
      <c r="C85" s="265"/>
      <c r="D85" s="265" t="s">
        <v>513</v>
      </c>
    </row>
    <row r="86" spans="1:4">
      <c r="A86" s="265">
        <v>5861475</v>
      </c>
      <c r="B86" s="265" t="s">
        <v>473</v>
      </c>
      <c r="C86" s="265" t="s">
        <v>586</v>
      </c>
      <c r="D86" s="265" t="s">
        <v>513</v>
      </c>
    </row>
    <row r="87" spans="1:4">
      <c r="A87" s="232">
        <v>4236654</v>
      </c>
      <c r="B87" s="232" t="s">
        <v>308</v>
      </c>
      <c r="C87" s="232"/>
      <c r="D87" s="232" t="s">
        <v>514</v>
      </c>
    </row>
    <row r="88" spans="1:4">
      <c r="A88" s="265">
        <v>1452969</v>
      </c>
      <c r="B88" s="265" t="s">
        <v>308</v>
      </c>
      <c r="C88" s="265" t="s">
        <v>159</v>
      </c>
      <c r="D88" s="265" t="s">
        <v>515</v>
      </c>
    </row>
    <row r="89" spans="1:4">
      <c r="A89" s="265">
        <v>1015710</v>
      </c>
      <c r="B89" s="265" t="s">
        <v>308</v>
      </c>
      <c r="C89" s="265" t="s">
        <v>159</v>
      </c>
      <c r="D89" s="265" t="s">
        <v>515</v>
      </c>
    </row>
    <row r="90" spans="1:4">
      <c r="A90" s="232">
        <v>402576</v>
      </c>
      <c r="B90" s="232" t="s">
        <v>308</v>
      </c>
      <c r="C90" s="232"/>
      <c r="D90" s="232" t="s">
        <v>516</v>
      </c>
    </row>
    <row r="91" spans="1:4">
      <c r="A91" s="265">
        <v>1453042</v>
      </c>
      <c r="B91" s="265" t="s">
        <v>308</v>
      </c>
      <c r="C91" s="265" t="s">
        <v>237</v>
      </c>
      <c r="D91" s="265" t="s">
        <v>517</v>
      </c>
    </row>
    <row r="92" spans="1:4">
      <c r="A92" s="265">
        <v>2031533</v>
      </c>
      <c r="B92" s="265" t="s">
        <v>473</v>
      </c>
      <c r="C92" s="265" t="s">
        <v>31</v>
      </c>
      <c r="D92" s="265" t="s">
        <v>517</v>
      </c>
    </row>
    <row r="93" spans="1:4">
      <c r="A93" s="232">
        <v>2664495</v>
      </c>
      <c r="B93" s="232" t="s">
        <v>308</v>
      </c>
      <c r="C93" s="232"/>
      <c r="D93" s="232" t="s">
        <v>518</v>
      </c>
    </row>
    <row r="94" spans="1:4">
      <c r="A94" s="265">
        <v>8358715</v>
      </c>
      <c r="B94" s="265" t="s">
        <v>308</v>
      </c>
      <c r="C94" s="265" t="s">
        <v>181</v>
      </c>
      <c r="D94" s="265" t="s">
        <v>519</v>
      </c>
    </row>
    <row r="95" spans="1:4">
      <c r="A95" s="232">
        <v>4814164</v>
      </c>
      <c r="B95" s="232" t="s">
        <v>308</v>
      </c>
      <c r="C95" s="232"/>
      <c r="D95" s="232" t="s">
        <v>520</v>
      </c>
    </row>
    <row r="96" spans="1:4">
      <c r="A96" s="265">
        <v>1452971</v>
      </c>
      <c r="B96" s="265" t="s">
        <v>308</v>
      </c>
      <c r="C96" s="265" t="s">
        <v>175</v>
      </c>
      <c r="D96" s="265" t="s">
        <v>521</v>
      </c>
    </row>
    <row r="97" spans="1:4">
      <c r="A97" s="265">
        <v>2078450</v>
      </c>
      <c r="B97" s="265" t="s">
        <v>473</v>
      </c>
      <c r="C97" s="265" t="s">
        <v>175</v>
      </c>
      <c r="D97" s="265" t="s">
        <v>521</v>
      </c>
    </row>
    <row r="98" spans="1:4">
      <c r="A98" s="232">
        <v>2770266</v>
      </c>
      <c r="B98" s="232" t="s">
        <v>308</v>
      </c>
      <c r="C98" s="232"/>
      <c r="D98" s="232" t="s">
        <v>522</v>
      </c>
    </row>
    <row r="99" spans="1:4">
      <c r="A99" s="265">
        <v>1452923</v>
      </c>
      <c r="B99" s="265" t="s">
        <v>308</v>
      </c>
      <c r="C99" s="265" t="s">
        <v>232</v>
      </c>
      <c r="D99" s="265" t="s">
        <v>558</v>
      </c>
    </row>
    <row r="100" spans="1:4">
      <c r="A100" s="265">
        <v>3844452</v>
      </c>
      <c r="B100" s="265" t="s">
        <v>473</v>
      </c>
      <c r="C100" s="265" t="s">
        <v>587</v>
      </c>
      <c r="D100" s="265" t="s">
        <v>558</v>
      </c>
    </row>
    <row r="101" spans="1:4">
      <c r="A101" s="232">
        <v>1832879</v>
      </c>
      <c r="B101" s="232" t="s">
        <v>308</v>
      </c>
      <c r="C101" s="232" t="s">
        <v>98</v>
      </c>
      <c r="D101" s="232" t="s">
        <v>523</v>
      </c>
    </row>
    <row r="102" spans="1:4">
      <c r="A102" s="232">
        <v>2314488</v>
      </c>
      <c r="B102" s="232" t="s">
        <v>473</v>
      </c>
      <c r="C102" s="232" t="s">
        <v>588</v>
      </c>
      <c r="D102" s="232" t="s">
        <v>523</v>
      </c>
    </row>
    <row r="103" spans="1:4">
      <c r="A103" s="232">
        <v>4160064</v>
      </c>
      <c r="B103" s="232" t="s">
        <v>473</v>
      </c>
      <c r="C103" s="232" t="s">
        <v>98</v>
      </c>
      <c r="D103" s="232" t="s">
        <v>523</v>
      </c>
    </row>
    <row r="104" spans="1:4">
      <c r="A104" s="265">
        <v>1453505</v>
      </c>
      <c r="B104" s="265" t="s">
        <v>308</v>
      </c>
      <c r="C104" s="265" t="s">
        <v>589</v>
      </c>
      <c r="D104" s="265" t="s">
        <v>524</v>
      </c>
    </row>
    <row r="105" spans="1:4">
      <c r="A105" s="265">
        <v>7936575</v>
      </c>
      <c r="B105" s="265" t="s">
        <v>473</v>
      </c>
      <c r="C105" s="265" t="s">
        <v>590</v>
      </c>
      <c r="D105" s="265" t="s">
        <v>524</v>
      </c>
    </row>
    <row r="106" spans="1:4">
      <c r="A106" s="265">
        <v>4700696</v>
      </c>
      <c r="B106" s="265" t="s">
        <v>473</v>
      </c>
      <c r="C106" s="265" t="s">
        <v>591</v>
      </c>
      <c r="D106" s="265" t="s">
        <v>524</v>
      </c>
    </row>
    <row r="107" spans="1:4">
      <c r="A107" s="232">
        <v>1452806</v>
      </c>
      <c r="B107" s="232" t="s">
        <v>308</v>
      </c>
      <c r="C107" s="232" t="s">
        <v>592</v>
      </c>
      <c r="D107" s="232" t="s">
        <v>525</v>
      </c>
    </row>
    <row r="108" spans="1:4">
      <c r="A108" s="232">
        <v>8088426</v>
      </c>
      <c r="B108" s="232" t="s">
        <v>473</v>
      </c>
      <c r="C108" s="232" t="s">
        <v>592</v>
      </c>
      <c r="D108" s="232" t="s">
        <v>525</v>
      </c>
    </row>
    <row r="109" spans="1:4">
      <c r="A109" s="232">
        <v>5697656</v>
      </c>
      <c r="B109" s="232" t="s">
        <v>473</v>
      </c>
      <c r="C109" s="232" t="s">
        <v>592</v>
      </c>
      <c r="D109" s="232" t="s">
        <v>525</v>
      </c>
    </row>
    <row r="110" spans="1:4">
      <c r="A110" s="265">
        <v>1301661</v>
      </c>
      <c r="B110" s="265" t="s">
        <v>308</v>
      </c>
      <c r="C110" s="265" t="s">
        <v>593</v>
      </c>
      <c r="D110" s="265" t="s">
        <v>526</v>
      </c>
    </row>
    <row r="111" spans="1:4">
      <c r="A111" s="265">
        <v>9021326</v>
      </c>
      <c r="B111" s="265" t="s">
        <v>473</v>
      </c>
      <c r="C111" s="265" t="s">
        <v>593</v>
      </c>
      <c r="D111" s="265" t="s">
        <v>526</v>
      </c>
    </row>
    <row r="112" spans="1:4">
      <c r="A112" s="265">
        <v>5607886</v>
      </c>
      <c r="B112" s="265" t="s">
        <v>473</v>
      </c>
      <c r="C112" s="265" t="s">
        <v>593</v>
      </c>
      <c r="D112" s="265" t="s">
        <v>526</v>
      </c>
    </row>
    <row r="113" spans="1:4">
      <c r="A113" s="232">
        <v>1452801</v>
      </c>
      <c r="B113" s="232" t="s">
        <v>308</v>
      </c>
      <c r="C113" s="232" t="s">
        <v>163</v>
      </c>
      <c r="D113" s="232" t="s">
        <v>594</v>
      </c>
    </row>
    <row r="114" spans="1:4">
      <c r="A114" s="232">
        <v>7936503</v>
      </c>
      <c r="B114" s="232" t="s">
        <v>473</v>
      </c>
      <c r="C114" s="232" t="s">
        <v>179</v>
      </c>
      <c r="D114" s="232" t="s">
        <v>594</v>
      </c>
    </row>
    <row r="115" spans="1:4">
      <c r="A115" s="265">
        <v>4769683</v>
      </c>
      <c r="B115" s="265" t="s">
        <v>308</v>
      </c>
      <c r="C115" s="265" t="s">
        <v>595</v>
      </c>
      <c r="D115" s="265" t="s">
        <v>527</v>
      </c>
    </row>
    <row r="116" spans="1:4">
      <c r="A116" s="232">
        <v>8073971</v>
      </c>
      <c r="B116" s="232" t="s">
        <v>308</v>
      </c>
      <c r="C116" s="232" t="s">
        <v>203</v>
      </c>
      <c r="D116" s="232" t="s">
        <v>528</v>
      </c>
    </row>
    <row r="117" spans="1:4">
      <c r="A117" s="232">
        <v>7629034</v>
      </c>
      <c r="B117" s="232" t="s">
        <v>473</v>
      </c>
      <c r="C117" s="232" t="s">
        <v>203</v>
      </c>
      <c r="D117" s="232" t="s">
        <v>528</v>
      </c>
    </row>
    <row r="118" spans="1:4">
      <c r="A118" s="232">
        <v>2062731</v>
      </c>
      <c r="B118" s="232" t="s">
        <v>473</v>
      </c>
      <c r="C118" s="232" t="s">
        <v>203</v>
      </c>
      <c r="D118" s="232" t="s">
        <v>528</v>
      </c>
    </row>
    <row r="119" spans="1:4">
      <c r="A119" s="232">
        <v>1453082</v>
      </c>
      <c r="B119" s="232" t="s">
        <v>473</v>
      </c>
      <c r="C119" s="232" t="s">
        <v>203</v>
      </c>
      <c r="D119" s="232" t="s">
        <v>528</v>
      </c>
    </row>
    <row r="120" spans="1:4">
      <c r="A120" s="265">
        <v>1453313</v>
      </c>
      <c r="B120" s="265" t="s">
        <v>308</v>
      </c>
      <c r="C120" s="265" t="s">
        <v>56</v>
      </c>
      <c r="D120" s="265" t="s">
        <v>529</v>
      </c>
    </row>
    <row r="121" spans="1:4">
      <c r="A121" s="265">
        <v>8021208</v>
      </c>
      <c r="B121" s="265" t="s">
        <v>473</v>
      </c>
      <c r="C121" s="265" t="s">
        <v>56</v>
      </c>
      <c r="D121" s="265" t="s">
        <v>529</v>
      </c>
    </row>
    <row r="122" spans="1:4">
      <c r="A122" s="232">
        <v>2254080</v>
      </c>
      <c r="B122" s="232" t="s">
        <v>308</v>
      </c>
      <c r="C122" s="232" t="s">
        <v>219</v>
      </c>
      <c r="D122" s="232" t="s">
        <v>560</v>
      </c>
    </row>
    <row r="123" spans="1:4">
      <c r="A123" s="265">
        <v>402415</v>
      </c>
      <c r="B123" s="265" t="s">
        <v>308</v>
      </c>
      <c r="C123" s="265"/>
      <c r="D123" s="265" t="s">
        <v>530</v>
      </c>
    </row>
    <row r="124" spans="1:4">
      <c r="A124" s="232">
        <v>1452809</v>
      </c>
      <c r="B124" s="232" t="s">
        <v>308</v>
      </c>
      <c r="C124" s="232" t="s">
        <v>139</v>
      </c>
      <c r="D124" s="232" t="s">
        <v>531</v>
      </c>
    </row>
    <row r="125" spans="1:4">
      <c r="A125" s="232">
        <v>2422382</v>
      </c>
      <c r="B125" s="232" t="s">
        <v>473</v>
      </c>
      <c r="C125" s="232" t="s">
        <v>139</v>
      </c>
      <c r="D125" s="232" t="s">
        <v>531</v>
      </c>
    </row>
    <row r="126" spans="1:4">
      <c r="A126" s="265">
        <v>1453037</v>
      </c>
      <c r="B126" s="265" t="s">
        <v>308</v>
      </c>
      <c r="C126" s="265" t="s">
        <v>596</v>
      </c>
      <c r="D126" s="265" t="s">
        <v>532</v>
      </c>
    </row>
    <row r="127" spans="1:4">
      <c r="A127" s="265">
        <v>2193125</v>
      </c>
      <c r="B127" s="265" t="s">
        <v>473</v>
      </c>
      <c r="C127" s="265" t="s">
        <v>597</v>
      </c>
      <c r="D127" s="265" t="s">
        <v>532</v>
      </c>
    </row>
    <row r="128" spans="1:4">
      <c r="A128" s="232">
        <v>7342612</v>
      </c>
      <c r="B128" s="232" t="s">
        <v>308</v>
      </c>
      <c r="C128" s="232" t="s">
        <v>224</v>
      </c>
      <c r="D128" s="232" t="s">
        <v>533</v>
      </c>
    </row>
    <row r="129" spans="1:4">
      <c r="A129" s="265">
        <v>1452908</v>
      </c>
      <c r="B129" s="265" t="s">
        <v>308</v>
      </c>
      <c r="C129" s="265" t="s">
        <v>90</v>
      </c>
      <c r="D129" s="265" t="s">
        <v>561</v>
      </c>
    </row>
    <row r="130" spans="1:4">
      <c r="A130" s="265">
        <v>3425252</v>
      </c>
      <c r="B130" s="265" t="s">
        <v>473</v>
      </c>
      <c r="C130" s="265" t="s">
        <v>90</v>
      </c>
      <c r="D130" s="265" t="s">
        <v>561</v>
      </c>
    </row>
    <row r="131" spans="1:4">
      <c r="A131" s="232">
        <v>6582763</v>
      </c>
      <c r="B131" s="232" t="s">
        <v>308</v>
      </c>
      <c r="C131" s="232"/>
      <c r="D131" s="232" t="s">
        <v>534</v>
      </c>
    </row>
    <row r="132" spans="1:4">
      <c r="A132" s="265">
        <v>4379306</v>
      </c>
      <c r="B132" s="265" t="s">
        <v>308</v>
      </c>
      <c r="C132" s="265" t="s">
        <v>598</v>
      </c>
      <c r="D132" s="265" t="s">
        <v>535</v>
      </c>
    </row>
    <row r="133" spans="1:4">
      <c r="A133" s="265">
        <v>9116569</v>
      </c>
      <c r="B133" s="265" t="s">
        <v>473</v>
      </c>
      <c r="C133" s="265" t="s">
        <v>599</v>
      </c>
      <c r="D133" s="265" t="s">
        <v>535</v>
      </c>
    </row>
    <row r="134" spans="1:4">
      <c r="A134" s="232">
        <v>1452909</v>
      </c>
      <c r="B134" s="232" t="s">
        <v>308</v>
      </c>
      <c r="C134" s="232" t="s">
        <v>92</v>
      </c>
      <c r="D134" s="232" t="s">
        <v>536</v>
      </c>
    </row>
    <row r="135" spans="1:4">
      <c r="A135" s="232">
        <v>3427311</v>
      </c>
      <c r="B135" s="232" t="s">
        <v>473</v>
      </c>
      <c r="C135" s="232" t="s">
        <v>92</v>
      </c>
      <c r="D135" s="232" t="s">
        <v>536</v>
      </c>
    </row>
    <row r="136" spans="1:4">
      <c r="A136" s="265">
        <v>4878330</v>
      </c>
      <c r="B136" s="265" t="s">
        <v>308</v>
      </c>
      <c r="C136" s="265"/>
      <c r="D136" s="265" t="s">
        <v>562</v>
      </c>
    </row>
    <row r="137" spans="1:4">
      <c r="A137" s="232">
        <v>8073460</v>
      </c>
      <c r="B137" s="232" t="s">
        <v>308</v>
      </c>
      <c r="C137" s="232" t="s">
        <v>600</v>
      </c>
      <c r="D137" s="232" t="s">
        <v>537</v>
      </c>
    </row>
    <row r="138" spans="1:4">
      <c r="A138" s="265">
        <v>1301661</v>
      </c>
      <c r="B138" s="265" t="s">
        <v>308</v>
      </c>
      <c r="C138" s="265" t="s">
        <v>593</v>
      </c>
      <c r="D138" s="265" t="s">
        <v>538</v>
      </c>
    </row>
    <row r="139" spans="1:4">
      <c r="A139" s="265">
        <v>9021326</v>
      </c>
      <c r="B139" s="265" t="s">
        <v>473</v>
      </c>
      <c r="C139" s="265" t="s">
        <v>593</v>
      </c>
      <c r="D139" s="265" t="s">
        <v>538</v>
      </c>
    </row>
    <row r="140" spans="1:4">
      <c r="A140" s="265">
        <v>5607886</v>
      </c>
      <c r="B140" s="265" t="s">
        <v>473</v>
      </c>
      <c r="C140" s="265" t="s">
        <v>593</v>
      </c>
      <c r="D140" s="265" t="s">
        <v>538</v>
      </c>
    </row>
    <row r="141" spans="1:4">
      <c r="A141" s="232">
        <v>8073898</v>
      </c>
      <c r="B141" s="232" t="s">
        <v>308</v>
      </c>
      <c r="C141" s="232" t="s">
        <v>601</v>
      </c>
      <c r="D141" s="232" t="s">
        <v>539</v>
      </c>
    </row>
    <row r="142" spans="1:4">
      <c r="A142" s="232">
        <v>2090532</v>
      </c>
      <c r="B142" s="232" t="s">
        <v>473</v>
      </c>
      <c r="C142" s="232" t="s">
        <v>601</v>
      </c>
      <c r="D142" s="232" t="s">
        <v>539</v>
      </c>
    </row>
    <row r="143" spans="1:4">
      <c r="A143" s="232">
        <v>1453119</v>
      </c>
      <c r="B143" s="232" t="s">
        <v>473</v>
      </c>
      <c r="C143" s="232" t="s">
        <v>601</v>
      </c>
      <c r="D143" s="232" t="s">
        <v>539</v>
      </c>
    </row>
    <row r="144" spans="1:4">
      <c r="A144" s="265">
        <v>1452745</v>
      </c>
      <c r="B144" s="265" t="s">
        <v>308</v>
      </c>
      <c r="C144" s="265" t="s">
        <v>81</v>
      </c>
      <c r="D144" s="265" t="s">
        <v>540</v>
      </c>
    </row>
    <row r="145" spans="1:4">
      <c r="A145" s="265">
        <v>402415</v>
      </c>
      <c r="B145" s="265" t="s">
        <v>473</v>
      </c>
      <c r="C145" s="265"/>
      <c r="D145" s="265" t="s">
        <v>540</v>
      </c>
    </row>
    <row r="146" spans="1:4">
      <c r="A146" s="265">
        <v>7950283</v>
      </c>
      <c r="B146" s="265" t="s">
        <v>473</v>
      </c>
      <c r="C146" s="265" t="s">
        <v>81</v>
      </c>
      <c r="D146" s="265" t="s">
        <v>540</v>
      </c>
    </row>
    <row r="147" spans="1:4">
      <c r="A147" s="265">
        <v>5358558</v>
      </c>
      <c r="B147" s="265" t="s">
        <v>473</v>
      </c>
      <c r="C147" s="265" t="s">
        <v>81</v>
      </c>
      <c r="D147" s="265" t="s">
        <v>540</v>
      </c>
    </row>
    <row r="148" spans="1:4">
      <c r="A148" s="265">
        <v>1453776</v>
      </c>
      <c r="B148" s="265" t="s">
        <v>473</v>
      </c>
      <c r="C148" s="265" t="s">
        <v>81</v>
      </c>
      <c r="D148" s="265" t="s">
        <v>540</v>
      </c>
    </row>
    <row r="149" spans="1:4">
      <c r="A149" s="232">
        <v>1453041</v>
      </c>
      <c r="B149" s="232" t="s">
        <v>308</v>
      </c>
      <c r="C149" s="232" t="s">
        <v>602</v>
      </c>
      <c r="D149" s="232" t="s">
        <v>541</v>
      </c>
    </row>
    <row r="150" spans="1:4">
      <c r="A150" s="232">
        <v>3844252</v>
      </c>
      <c r="B150" s="232" t="s">
        <v>473</v>
      </c>
      <c r="C150" s="232" t="s">
        <v>274</v>
      </c>
      <c r="D150" s="232" t="s">
        <v>541</v>
      </c>
    </row>
    <row r="151" spans="1:4">
      <c r="A151" s="265">
        <v>1453043</v>
      </c>
      <c r="B151" s="265" t="s">
        <v>308</v>
      </c>
      <c r="C151" s="265" t="s">
        <v>239</v>
      </c>
      <c r="D151" s="265" t="s">
        <v>542</v>
      </c>
    </row>
    <row r="152" spans="1:4">
      <c r="A152" s="265">
        <v>8880814</v>
      </c>
      <c r="B152" s="265" t="s">
        <v>473</v>
      </c>
      <c r="C152" s="265" t="s">
        <v>277</v>
      </c>
      <c r="D152" s="265" t="s">
        <v>542</v>
      </c>
    </row>
    <row r="153" spans="1:4">
      <c r="A153" s="232">
        <v>1452969</v>
      </c>
      <c r="B153" s="232" t="s">
        <v>308</v>
      </c>
      <c r="C153" s="232" t="s">
        <v>159</v>
      </c>
      <c r="D153" s="232" t="s">
        <v>543</v>
      </c>
    </row>
    <row r="154" spans="1:4">
      <c r="A154" s="232">
        <v>1015710</v>
      </c>
      <c r="B154" s="232" t="s">
        <v>308</v>
      </c>
      <c r="C154" s="232" t="s">
        <v>159</v>
      </c>
      <c r="D154" s="232" t="s">
        <v>543</v>
      </c>
    </row>
    <row r="155" spans="1:4">
      <c r="A155" s="265">
        <v>1453453</v>
      </c>
      <c r="B155" s="265" t="s">
        <v>308</v>
      </c>
      <c r="C155" s="265" t="s">
        <v>569</v>
      </c>
      <c r="D155" s="265" t="s">
        <v>544</v>
      </c>
    </row>
    <row r="156" spans="1:4">
      <c r="A156" s="265">
        <v>3258154</v>
      </c>
      <c r="B156" s="265" t="s">
        <v>473</v>
      </c>
      <c r="C156" s="265" t="s">
        <v>569</v>
      </c>
      <c r="D156" s="265" t="s">
        <v>544</v>
      </c>
    </row>
    <row r="157" spans="1:4">
      <c r="A157" s="232">
        <v>1452967</v>
      </c>
      <c r="B157" s="232" t="s">
        <v>308</v>
      </c>
      <c r="C157" s="232" t="s">
        <v>165</v>
      </c>
      <c r="D157" s="232" t="s">
        <v>545</v>
      </c>
    </row>
    <row r="158" spans="1:4">
      <c r="A158" s="232">
        <v>7936525</v>
      </c>
      <c r="B158" s="232" t="s">
        <v>473</v>
      </c>
      <c r="C158" s="232" t="s">
        <v>165</v>
      </c>
      <c r="D158" s="232" t="s">
        <v>545</v>
      </c>
    </row>
    <row r="159" spans="1:4">
      <c r="A159" s="265">
        <v>1453152</v>
      </c>
      <c r="B159" s="265" t="s">
        <v>308</v>
      </c>
      <c r="C159" s="265" t="s">
        <v>120</v>
      </c>
      <c r="D159" s="265" t="s">
        <v>546</v>
      </c>
    </row>
    <row r="160" spans="1:4">
      <c r="A160" s="265">
        <v>8095100</v>
      </c>
      <c r="B160" s="265" t="s">
        <v>473</v>
      </c>
      <c r="C160" s="265" t="s">
        <v>120</v>
      </c>
      <c r="D160" s="265" t="s">
        <v>546</v>
      </c>
    </row>
    <row r="161" spans="1:4">
      <c r="A161" s="232">
        <v>1452784</v>
      </c>
      <c r="B161" s="232" t="s">
        <v>308</v>
      </c>
      <c r="C161" s="232" t="s">
        <v>86</v>
      </c>
      <c r="D161" s="232" t="s">
        <v>547</v>
      </c>
    </row>
    <row r="162" spans="1:4">
      <c r="A162" s="232">
        <v>4785449</v>
      </c>
      <c r="B162" s="232" t="s">
        <v>473</v>
      </c>
      <c r="C162" s="232"/>
      <c r="D162" s="232" t="s">
        <v>547</v>
      </c>
    </row>
    <row r="163" spans="1:4">
      <c r="A163" s="232">
        <v>5861475</v>
      </c>
      <c r="B163" s="232" t="s">
        <v>473</v>
      </c>
      <c r="C163" s="232" t="s">
        <v>586</v>
      </c>
      <c r="D163" s="232" t="s">
        <v>547</v>
      </c>
    </row>
    <row r="164" spans="1:4">
      <c r="A164" s="265">
        <v>1452750</v>
      </c>
      <c r="B164" s="265" t="s">
        <v>308</v>
      </c>
      <c r="C164" s="265" t="s">
        <v>603</v>
      </c>
      <c r="D164" s="265" t="s">
        <v>563</v>
      </c>
    </row>
    <row r="165" spans="1:4">
      <c r="A165" s="265">
        <v>5358508</v>
      </c>
      <c r="B165" s="265" t="s">
        <v>473</v>
      </c>
      <c r="C165" s="265" t="s">
        <v>603</v>
      </c>
      <c r="D165" s="265" t="s">
        <v>563</v>
      </c>
    </row>
    <row r="166" spans="1:4">
      <c r="A166" s="232">
        <v>1453042</v>
      </c>
      <c r="B166" s="232" t="s">
        <v>308</v>
      </c>
      <c r="C166" s="232" t="s">
        <v>237</v>
      </c>
      <c r="D166" s="232" t="s">
        <v>564</v>
      </c>
    </row>
    <row r="167" spans="1:4">
      <c r="A167" s="232">
        <v>2031533</v>
      </c>
      <c r="B167" s="232" t="s">
        <v>473</v>
      </c>
      <c r="C167" s="232" t="s">
        <v>31</v>
      </c>
      <c r="D167" s="232" t="s">
        <v>564</v>
      </c>
    </row>
  </sheetData>
  <sheetProtection algorithmName="SHA-512" hashValue="kDAucmcAYTImwE2bNvTrXEbq+GV8T9tUvQme5b7Ed8rBWUXk6y87Uc1nRkdz6yH8gbUJUxjewL98+w/2s+ki8A==" saltValue="+4x2+X2q2+K+WIC/nVsEmQ==" spinCount="100000" sheet="1" objects="1" scenarios="1"/>
  <autoFilter ref="A1:B158" xr:uid="{00000000-0009-0000-0000-000003000000}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I31"/>
  <sheetViews>
    <sheetView topLeftCell="A7" workbookViewId="0">
      <selection activeCell="I9" sqref="I9"/>
    </sheetView>
  </sheetViews>
  <sheetFormatPr defaultColWidth="9.109375" defaultRowHeight="25.8"/>
  <cols>
    <col min="1" max="1" width="13.88671875" style="233" bestFit="1" customWidth="1"/>
    <col min="2" max="2" width="9.109375" style="233"/>
    <col min="3" max="3" width="15.6640625" style="233" bestFit="1" customWidth="1"/>
    <col min="4" max="4" width="13.88671875" style="233" bestFit="1" customWidth="1"/>
    <col min="5" max="5" width="9.109375" style="233" customWidth="1"/>
    <col min="6" max="6" width="15.6640625" style="233" bestFit="1" customWidth="1"/>
    <col min="7" max="7" width="15.6640625" style="233" customWidth="1"/>
    <col min="8" max="8" width="9.88671875" style="233" customWidth="1"/>
    <col min="9" max="9" width="15.6640625" style="233" bestFit="1" customWidth="1"/>
    <col min="10" max="16384" width="9.109375" style="233"/>
  </cols>
  <sheetData>
    <row r="1" spans="1:9" ht="26.25" customHeight="1">
      <c r="A1" s="411">
        <v>1</v>
      </c>
      <c r="B1" s="234" t="s">
        <v>456</v>
      </c>
      <c r="C1" s="235">
        <v>1452803</v>
      </c>
      <c r="D1" s="411">
        <v>2</v>
      </c>
      <c r="E1" s="234" t="s">
        <v>456</v>
      </c>
      <c r="F1" s="235">
        <v>8073971</v>
      </c>
      <c r="G1" s="411">
        <v>3</v>
      </c>
      <c r="H1" s="234" t="s">
        <v>456</v>
      </c>
      <c r="I1" s="235">
        <v>1452809</v>
      </c>
    </row>
    <row r="2" spans="1:9" ht="26.25" customHeight="1">
      <c r="A2" s="411"/>
      <c r="B2" s="234" t="s">
        <v>455</v>
      </c>
      <c r="C2" s="235">
        <v>7342612</v>
      </c>
      <c r="D2" s="411"/>
      <c r="E2" s="234" t="s">
        <v>455</v>
      </c>
      <c r="F2" s="235">
        <v>1453313</v>
      </c>
      <c r="G2" s="411"/>
      <c r="H2" s="234" t="s">
        <v>455</v>
      </c>
      <c r="I2" s="235">
        <v>6336553</v>
      </c>
    </row>
    <row r="3" spans="1:9" ht="26.25" customHeight="1">
      <c r="A3" s="411"/>
      <c r="B3" s="234" t="s">
        <v>454</v>
      </c>
      <c r="C3" s="235">
        <v>1452923</v>
      </c>
      <c r="D3" s="411"/>
      <c r="E3" s="234" t="s">
        <v>454</v>
      </c>
      <c r="F3" s="235">
        <v>1452806</v>
      </c>
      <c r="G3" s="411"/>
      <c r="H3" s="234" t="s">
        <v>454</v>
      </c>
      <c r="I3" s="235">
        <v>8073898</v>
      </c>
    </row>
    <row r="4" spans="1:9" ht="26.25" customHeight="1">
      <c r="A4" s="411">
        <v>4</v>
      </c>
      <c r="B4" s="234" t="s">
        <v>456</v>
      </c>
      <c r="C4" s="235">
        <v>1453485</v>
      </c>
      <c r="D4" s="411">
        <v>5</v>
      </c>
      <c r="E4" s="234" t="s">
        <v>456</v>
      </c>
      <c r="F4" s="235">
        <v>7003113</v>
      </c>
      <c r="G4" s="411">
        <v>6</v>
      </c>
      <c r="H4" s="234" t="s">
        <v>456</v>
      </c>
      <c r="I4" s="235">
        <v>1452944</v>
      </c>
    </row>
    <row r="5" spans="1:9" ht="26.25" customHeight="1">
      <c r="A5" s="411"/>
      <c r="B5" s="234" t="s">
        <v>455</v>
      </c>
      <c r="C5" s="235">
        <v>1301661</v>
      </c>
      <c r="D5" s="411"/>
      <c r="E5" s="234" t="s">
        <v>455</v>
      </c>
      <c r="F5" s="235">
        <v>1453037</v>
      </c>
      <c r="G5" s="411"/>
      <c r="H5" s="234" t="s">
        <v>455</v>
      </c>
      <c r="I5" s="235" t="s">
        <v>278</v>
      </c>
    </row>
    <row r="6" spans="1:9" ht="26.25" customHeight="1">
      <c r="A6" s="411"/>
      <c r="B6" s="234" t="s">
        <v>454</v>
      </c>
      <c r="C6" s="235">
        <v>1301661</v>
      </c>
      <c r="D6" s="411"/>
      <c r="E6" s="234" t="s">
        <v>454</v>
      </c>
      <c r="F6" s="235" t="s">
        <v>278</v>
      </c>
      <c r="G6" s="411"/>
      <c r="H6" s="234" t="s">
        <v>454</v>
      </c>
      <c r="I6" s="235" t="s">
        <v>278</v>
      </c>
    </row>
    <row r="7" spans="1:9" ht="26.25" customHeight="1">
      <c r="A7" s="411">
        <v>7</v>
      </c>
      <c r="B7" s="234" t="s">
        <v>456</v>
      </c>
      <c r="C7" s="235">
        <v>1453317</v>
      </c>
      <c r="D7" s="411">
        <v>8</v>
      </c>
      <c r="E7" s="234" t="s">
        <v>456</v>
      </c>
      <c r="F7" s="235">
        <v>1453152</v>
      </c>
      <c r="G7" s="411">
        <v>9</v>
      </c>
      <c r="H7" s="234" t="s">
        <v>456</v>
      </c>
      <c r="I7" s="235">
        <v>91721</v>
      </c>
    </row>
    <row r="8" spans="1:9" ht="26.25" customHeight="1">
      <c r="A8" s="411"/>
      <c r="B8" s="234" t="s">
        <v>455</v>
      </c>
      <c r="C8" s="235" t="s">
        <v>278</v>
      </c>
      <c r="D8" s="411"/>
      <c r="E8" s="234" t="s">
        <v>455</v>
      </c>
      <c r="F8" s="235" t="s">
        <v>278</v>
      </c>
      <c r="G8" s="411"/>
      <c r="H8" s="234" t="s">
        <v>455</v>
      </c>
      <c r="I8" s="235" t="s">
        <v>278</v>
      </c>
    </row>
    <row r="9" spans="1:9" ht="26.25" customHeight="1">
      <c r="A9" s="411"/>
      <c r="B9" s="234" t="s">
        <v>454</v>
      </c>
      <c r="C9" s="235" t="s">
        <v>278</v>
      </c>
      <c r="D9" s="411"/>
      <c r="E9" s="234" t="s">
        <v>454</v>
      </c>
      <c r="F9" s="235" t="s">
        <v>278</v>
      </c>
      <c r="G9" s="411"/>
      <c r="H9" s="234" t="s">
        <v>454</v>
      </c>
      <c r="I9" s="235" t="s">
        <v>278</v>
      </c>
    </row>
    <row r="10" spans="1:9" ht="26.25" customHeight="1">
      <c r="A10" s="411">
        <v>10</v>
      </c>
      <c r="B10" s="234" t="s">
        <v>456</v>
      </c>
      <c r="C10" s="235">
        <v>1452784</v>
      </c>
      <c r="D10" s="411">
        <v>11</v>
      </c>
      <c r="E10" s="234" t="s">
        <v>456</v>
      </c>
      <c r="F10" s="235">
        <v>1453150</v>
      </c>
      <c r="G10" s="411">
        <v>12</v>
      </c>
      <c r="H10" s="234" t="s">
        <v>456</v>
      </c>
      <c r="I10" s="235">
        <v>1455401</v>
      </c>
    </row>
    <row r="11" spans="1:9" ht="26.25" customHeight="1">
      <c r="A11" s="411"/>
      <c r="B11" s="234" t="s">
        <v>455</v>
      </c>
      <c r="C11" s="235"/>
      <c r="D11" s="411"/>
      <c r="E11" s="234" t="s">
        <v>455</v>
      </c>
      <c r="F11" s="235">
        <v>2254080</v>
      </c>
      <c r="G11" s="411"/>
      <c r="H11" s="234" t="s">
        <v>455</v>
      </c>
      <c r="I11" s="235">
        <v>1452745</v>
      </c>
    </row>
    <row r="12" spans="1:9" ht="26.25" customHeight="1">
      <c r="A12" s="411"/>
      <c r="B12" s="234" t="s">
        <v>454</v>
      </c>
      <c r="C12" s="235" t="s">
        <v>278</v>
      </c>
      <c r="D12" s="411"/>
      <c r="E12" s="234" t="s">
        <v>454</v>
      </c>
      <c r="F12" s="235">
        <v>7341852</v>
      </c>
      <c r="G12" s="411"/>
      <c r="H12" s="234" t="s">
        <v>454</v>
      </c>
      <c r="I12" s="235">
        <v>6924637</v>
      </c>
    </row>
    <row r="13" spans="1:9" ht="26.25" customHeight="1">
      <c r="A13" s="411">
        <v>13</v>
      </c>
      <c r="B13" s="234" t="s">
        <v>456</v>
      </c>
      <c r="C13" s="235">
        <v>1453048</v>
      </c>
      <c r="D13" s="411">
        <v>14</v>
      </c>
      <c r="E13" s="234" t="s">
        <v>456</v>
      </c>
      <c r="F13" s="235">
        <v>13864</v>
      </c>
      <c r="G13" s="411">
        <v>15</v>
      </c>
      <c r="H13" s="234" t="s">
        <v>456</v>
      </c>
      <c r="I13" s="235">
        <v>6572286</v>
      </c>
    </row>
    <row r="14" spans="1:9" ht="26.25" customHeight="1">
      <c r="A14" s="411"/>
      <c r="B14" s="234" t="s">
        <v>455</v>
      </c>
      <c r="C14" s="235">
        <v>6495750</v>
      </c>
      <c r="D14" s="411"/>
      <c r="E14" s="234" t="s">
        <v>455</v>
      </c>
      <c r="F14" s="235">
        <v>8358715</v>
      </c>
      <c r="G14" s="411"/>
      <c r="H14" s="234" t="s">
        <v>455</v>
      </c>
      <c r="I14" s="235">
        <v>116897</v>
      </c>
    </row>
    <row r="15" spans="1:9" ht="26.25" customHeight="1">
      <c r="A15" s="411"/>
      <c r="B15" s="234" t="s">
        <v>454</v>
      </c>
      <c r="C15" s="235">
        <v>2770266</v>
      </c>
      <c r="D15" s="411"/>
      <c r="E15" s="234" t="s">
        <v>454</v>
      </c>
      <c r="F15" s="235">
        <v>117980</v>
      </c>
      <c r="G15" s="411"/>
      <c r="H15" s="234" t="s">
        <v>454</v>
      </c>
      <c r="I15" s="235">
        <v>1452967</v>
      </c>
    </row>
    <row r="16" spans="1:9" ht="26.25" customHeight="1">
      <c r="A16" s="411">
        <v>16</v>
      </c>
      <c r="B16" s="234" t="s">
        <v>456</v>
      </c>
      <c r="C16" s="235">
        <v>4551530</v>
      </c>
      <c r="D16" s="411">
        <v>17</v>
      </c>
      <c r="E16" s="234" t="s">
        <v>456</v>
      </c>
      <c r="F16" s="235">
        <v>1452969</v>
      </c>
      <c r="G16" s="411">
        <v>18</v>
      </c>
      <c r="H16" s="234" t="s">
        <v>456</v>
      </c>
      <c r="I16" s="235">
        <v>1780630</v>
      </c>
    </row>
    <row r="17" spans="1:9" ht="26.25" customHeight="1">
      <c r="A17" s="411"/>
      <c r="B17" s="234" t="s">
        <v>455</v>
      </c>
      <c r="C17" s="235">
        <v>1452987</v>
      </c>
      <c r="D17" s="411"/>
      <c r="E17" s="234" t="s">
        <v>455</v>
      </c>
      <c r="F17" s="235">
        <v>1454330</v>
      </c>
      <c r="G17" s="411"/>
      <c r="H17" s="234" t="s">
        <v>455</v>
      </c>
      <c r="I17" s="235" t="s">
        <v>278</v>
      </c>
    </row>
    <row r="18" spans="1:9" ht="26.25" customHeight="1">
      <c r="A18" s="411"/>
      <c r="B18" s="234" t="s">
        <v>454</v>
      </c>
      <c r="C18" s="235">
        <v>1452971</v>
      </c>
      <c r="D18" s="411"/>
      <c r="E18" s="234" t="s">
        <v>454</v>
      </c>
      <c r="F18" s="235">
        <v>1452801</v>
      </c>
      <c r="G18" s="411"/>
      <c r="H18" s="234" t="s">
        <v>454</v>
      </c>
      <c r="I18" s="235" t="s">
        <v>278</v>
      </c>
    </row>
    <row r="19" spans="1:9" ht="26.25" customHeight="1">
      <c r="A19" s="411">
        <v>19</v>
      </c>
      <c r="B19" s="234" t="s">
        <v>456</v>
      </c>
      <c r="C19" s="235">
        <v>402576</v>
      </c>
      <c r="D19" s="411">
        <v>20</v>
      </c>
      <c r="E19" s="234" t="s">
        <v>456</v>
      </c>
      <c r="F19" s="235">
        <v>9653962</v>
      </c>
      <c r="G19" s="411">
        <v>21</v>
      </c>
      <c r="H19" s="234" t="s">
        <v>456</v>
      </c>
      <c r="I19" s="235">
        <v>1452815</v>
      </c>
    </row>
    <row r="20" spans="1:9" ht="26.25" customHeight="1">
      <c r="A20" s="411"/>
      <c r="B20" s="234" t="s">
        <v>455</v>
      </c>
      <c r="C20" s="235">
        <v>2781902</v>
      </c>
      <c r="D20" s="411"/>
      <c r="E20" s="234" t="s">
        <v>455</v>
      </c>
      <c r="F20" s="235"/>
      <c r="G20" s="411"/>
      <c r="H20" s="234" t="s">
        <v>455</v>
      </c>
      <c r="I20" s="235">
        <v>1453296</v>
      </c>
    </row>
    <row r="21" spans="1:9" ht="26.25" customHeight="1">
      <c r="A21" s="411"/>
      <c r="B21" s="234" t="s">
        <v>454</v>
      </c>
      <c r="C21" s="235"/>
      <c r="D21" s="411"/>
      <c r="E21" s="234" t="s">
        <v>454</v>
      </c>
      <c r="F21" s="235"/>
      <c r="G21" s="411"/>
      <c r="H21" s="234" t="s">
        <v>454</v>
      </c>
      <c r="I21" s="235">
        <v>1727779</v>
      </c>
    </row>
    <row r="23" spans="1:9">
      <c r="A23" s="411">
        <v>22</v>
      </c>
      <c r="B23" s="234" t="s">
        <v>456</v>
      </c>
      <c r="C23" s="235">
        <v>1453043</v>
      </c>
      <c r="D23" s="411">
        <v>23</v>
      </c>
      <c r="E23" s="234" t="s">
        <v>456</v>
      </c>
      <c r="F23" s="235">
        <v>1452750</v>
      </c>
      <c r="G23" s="411">
        <v>24</v>
      </c>
      <c r="H23" s="234" t="s">
        <v>456</v>
      </c>
      <c r="I23" s="235">
        <v>1780630</v>
      </c>
    </row>
    <row r="24" spans="1:9">
      <c r="A24" s="411"/>
      <c r="B24" s="234" t="s">
        <v>455</v>
      </c>
      <c r="C24" s="235">
        <v>7985563</v>
      </c>
      <c r="D24" s="411"/>
      <c r="E24" s="234" t="s">
        <v>455</v>
      </c>
      <c r="F24" s="235" t="s">
        <v>278</v>
      </c>
      <c r="G24" s="411"/>
      <c r="H24" s="234" t="s">
        <v>455</v>
      </c>
      <c r="I24" s="235"/>
    </row>
    <row r="25" spans="1:9">
      <c r="A25" s="411"/>
      <c r="B25" s="234" t="s">
        <v>454</v>
      </c>
      <c r="C25" s="235"/>
      <c r="D25" s="411"/>
      <c r="E25" s="234" t="s">
        <v>454</v>
      </c>
      <c r="F25" s="235" t="s">
        <v>278</v>
      </c>
      <c r="G25" s="411"/>
      <c r="H25" s="234" t="s">
        <v>454</v>
      </c>
      <c r="I25" s="235" t="s">
        <v>278</v>
      </c>
    </row>
    <row r="26" spans="1:9">
      <c r="A26" s="411">
        <v>25</v>
      </c>
      <c r="B26" s="234" t="s">
        <v>456</v>
      </c>
      <c r="C26" s="235">
        <v>1452832</v>
      </c>
      <c r="D26" s="411">
        <v>26</v>
      </c>
      <c r="E26" s="234" t="s">
        <v>456</v>
      </c>
      <c r="F26" s="235">
        <v>1453397</v>
      </c>
      <c r="G26" s="411">
        <v>27</v>
      </c>
      <c r="H26" s="234" t="s">
        <v>456</v>
      </c>
      <c r="I26" s="235">
        <v>5642733</v>
      </c>
    </row>
    <row r="27" spans="1:9">
      <c r="A27" s="411"/>
      <c r="B27" s="234" t="s">
        <v>455</v>
      </c>
      <c r="C27" s="235"/>
      <c r="D27" s="411"/>
      <c r="E27" s="234" t="s">
        <v>455</v>
      </c>
      <c r="F27" s="235"/>
      <c r="G27" s="411"/>
      <c r="H27" s="234" t="s">
        <v>455</v>
      </c>
      <c r="I27" s="235"/>
    </row>
    <row r="28" spans="1:9">
      <c r="A28" s="411"/>
      <c r="B28" s="234" t="s">
        <v>454</v>
      </c>
      <c r="C28" s="235"/>
      <c r="D28" s="411"/>
      <c r="E28" s="234" t="s">
        <v>454</v>
      </c>
      <c r="F28" s="235" t="s">
        <v>278</v>
      </c>
      <c r="G28" s="411"/>
      <c r="H28" s="234" t="s">
        <v>454</v>
      </c>
      <c r="I28" s="235"/>
    </row>
    <row r="29" spans="1:9">
      <c r="A29" s="411">
        <v>28</v>
      </c>
      <c r="B29" s="234" t="s">
        <v>456</v>
      </c>
      <c r="C29" s="235"/>
      <c r="D29" s="411">
        <v>29</v>
      </c>
      <c r="E29" s="234" t="s">
        <v>456</v>
      </c>
      <c r="F29" s="235"/>
      <c r="G29" s="411"/>
      <c r="H29" s="234"/>
      <c r="I29" s="235"/>
    </row>
    <row r="30" spans="1:9">
      <c r="A30" s="411"/>
      <c r="B30" s="234" t="s">
        <v>455</v>
      </c>
      <c r="C30" s="235"/>
      <c r="D30" s="411"/>
      <c r="E30" s="234" t="s">
        <v>455</v>
      </c>
      <c r="F30" s="235" t="s">
        <v>278</v>
      </c>
      <c r="G30" s="411"/>
      <c r="H30" s="234"/>
      <c r="I30" s="235"/>
    </row>
    <row r="31" spans="1:9">
      <c r="A31" s="411"/>
      <c r="B31" s="234" t="s">
        <v>454</v>
      </c>
      <c r="C31" s="235" t="s">
        <v>278</v>
      </c>
      <c r="D31" s="411"/>
      <c r="E31" s="234" t="s">
        <v>454</v>
      </c>
      <c r="F31" s="235" t="s">
        <v>278</v>
      </c>
      <c r="G31" s="411"/>
      <c r="H31" s="234"/>
      <c r="I31" s="235"/>
    </row>
  </sheetData>
  <mergeCells count="30">
    <mergeCell ref="A26:A28"/>
    <mergeCell ref="D26:D28"/>
    <mergeCell ref="G26:G28"/>
    <mergeCell ref="A29:A31"/>
    <mergeCell ref="D29:D31"/>
    <mergeCell ref="G29:G31"/>
    <mergeCell ref="A23:A25"/>
    <mergeCell ref="D23:D25"/>
    <mergeCell ref="G23:G25"/>
    <mergeCell ref="A19:A21"/>
    <mergeCell ref="D19:D21"/>
    <mergeCell ref="G7:G9"/>
    <mergeCell ref="G10:G12"/>
    <mergeCell ref="G13:G15"/>
    <mergeCell ref="G16:G18"/>
    <mergeCell ref="G19:G21"/>
    <mergeCell ref="A1:A3"/>
    <mergeCell ref="D1:D3"/>
    <mergeCell ref="A4:A6"/>
    <mergeCell ref="D4:D6"/>
    <mergeCell ref="G1:G3"/>
    <mergeCell ref="G4:G6"/>
    <mergeCell ref="A13:A15"/>
    <mergeCell ref="D13:D15"/>
    <mergeCell ref="A16:A18"/>
    <mergeCell ref="D16:D18"/>
    <mergeCell ref="A7:A9"/>
    <mergeCell ref="D7:D9"/>
    <mergeCell ref="A10:A12"/>
    <mergeCell ref="D10:D12"/>
  </mergeCells>
  <pageMargins left="0" right="0" top="0" bottom="0" header="0" footer="0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theme="5" tint="0.39997558519241921"/>
  </sheetPr>
  <dimension ref="B1:AI22"/>
  <sheetViews>
    <sheetView zoomScale="115" zoomScaleNormal="115" workbookViewId="0">
      <selection activeCell="AL9" sqref="AL9"/>
    </sheetView>
  </sheetViews>
  <sheetFormatPr defaultColWidth="9.109375" defaultRowHeight="14.4"/>
  <cols>
    <col min="1" max="3" width="3.6640625" style="201" customWidth="1"/>
    <col min="4" max="4" width="4.44140625" style="201" customWidth="1"/>
    <col min="5" max="36" width="3.6640625" style="201" customWidth="1"/>
    <col min="37" max="16384" width="9.109375" style="201"/>
  </cols>
  <sheetData>
    <row r="1" spans="2:35" ht="15" customHeight="1">
      <c r="B1" s="416" t="s">
        <v>410</v>
      </c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6"/>
      <c r="AB1" s="416"/>
      <c r="AC1" s="416"/>
      <c r="AD1" s="416"/>
      <c r="AE1" s="416"/>
      <c r="AF1" s="416"/>
      <c r="AG1" s="416"/>
      <c r="AH1" s="416"/>
      <c r="AI1" s="416"/>
    </row>
    <row r="2" spans="2:35" ht="15" customHeight="1">
      <c r="B2" s="416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6"/>
      <c r="AB2" s="416"/>
      <c r="AC2" s="416"/>
      <c r="AD2" s="416"/>
      <c r="AE2" s="416"/>
      <c r="AF2" s="416"/>
      <c r="AG2" s="416"/>
      <c r="AH2" s="416"/>
      <c r="AI2" s="416"/>
    </row>
    <row r="3" spans="2:35" ht="15" customHeight="1"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  <c r="M3" s="416"/>
      <c r="N3" s="416"/>
      <c r="O3" s="416"/>
      <c r="P3" s="416"/>
      <c r="Q3" s="416"/>
      <c r="R3" s="416"/>
      <c r="S3" s="416"/>
      <c r="T3" s="416"/>
      <c r="U3" s="416"/>
      <c r="V3" s="416"/>
      <c r="W3" s="416"/>
      <c r="X3" s="416"/>
      <c r="Y3" s="416"/>
      <c r="Z3" s="416"/>
      <c r="AA3" s="416"/>
      <c r="AB3" s="416"/>
      <c r="AC3" s="416"/>
      <c r="AD3" s="416"/>
      <c r="AE3" s="416"/>
      <c r="AF3" s="416"/>
      <c r="AG3" s="416"/>
      <c r="AH3" s="416"/>
      <c r="AI3" s="416"/>
    </row>
    <row r="4" spans="2:35" ht="15.6">
      <c r="B4" s="419" t="s">
        <v>432</v>
      </c>
      <c r="C4" s="420"/>
      <c r="D4" s="420"/>
      <c r="E4" s="420"/>
      <c r="F4" s="420"/>
      <c r="G4" s="421"/>
      <c r="M4" s="412" t="s">
        <v>82</v>
      </c>
      <c r="N4" s="412"/>
      <c r="O4" s="412"/>
      <c r="P4" s="412"/>
      <c r="R4" s="414" t="s">
        <v>49</v>
      </c>
      <c r="S4" s="414"/>
      <c r="T4" s="414"/>
      <c r="U4" s="414"/>
      <c r="W4" s="413" t="s">
        <v>225</v>
      </c>
      <c r="X4" s="413"/>
      <c r="Y4" s="413"/>
      <c r="Z4" s="413"/>
      <c r="AB4" s="413" t="s">
        <v>399</v>
      </c>
      <c r="AC4" s="413"/>
      <c r="AD4" s="413"/>
      <c r="AE4" s="413"/>
    </row>
    <row r="5" spans="2:35">
      <c r="B5" s="207"/>
      <c r="C5" s="208"/>
      <c r="D5" s="208"/>
      <c r="E5" s="208"/>
      <c r="F5" s="208"/>
      <c r="G5" s="209"/>
      <c r="M5" s="412"/>
      <c r="N5" s="412"/>
      <c r="O5" s="412"/>
      <c r="P5" s="412"/>
      <c r="R5" s="414"/>
      <c r="S5" s="414"/>
      <c r="T5" s="414"/>
      <c r="U5" s="414"/>
      <c r="W5" s="413"/>
      <c r="X5" s="413"/>
      <c r="Y5" s="413"/>
      <c r="Z5" s="413"/>
      <c r="AB5" s="413"/>
      <c r="AC5" s="413"/>
      <c r="AD5" s="413"/>
      <c r="AE5" s="413"/>
    </row>
    <row r="6" spans="2:35">
      <c r="B6" s="429" t="s">
        <v>343</v>
      </c>
      <c r="C6" s="430"/>
      <c r="D6" s="430"/>
      <c r="E6" s="430"/>
      <c r="F6" s="430"/>
      <c r="G6" s="431"/>
      <c r="M6" s="412"/>
      <c r="N6" s="412"/>
      <c r="O6" s="412"/>
      <c r="P6" s="412"/>
      <c r="R6" s="414"/>
      <c r="S6" s="414"/>
      <c r="T6" s="414"/>
      <c r="U6" s="414"/>
      <c r="W6" s="413"/>
      <c r="X6" s="413"/>
      <c r="Y6" s="413"/>
      <c r="Z6" s="413"/>
      <c r="AB6" s="413"/>
      <c r="AC6" s="413"/>
      <c r="AD6" s="413"/>
      <c r="AE6" s="413"/>
    </row>
    <row r="7" spans="2:35">
      <c r="B7" s="202"/>
      <c r="C7" s="417">
        <v>6924637</v>
      </c>
      <c r="D7" s="417"/>
      <c r="E7" s="417"/>
      <c r="F7" s="417"/>
      <c r="G7" s="203"/>
    </row>
    <row r="8" spans="2:35">
      <c r="B8" s="202"/>
      <c r="G8" s="203"/>
      <c r="M8" s="412" t="s">
        <v>377</v>
      </c>
      <c r="N8" s="412"/>
      <c r="O8" s="412"/>
      <c r="P8" s="412"/>
      <c r="R8" s="412" t="s">
        <v>400</v>
      </c>
      <c r="S8" s="412"/>
      <c r="T8" s="412"/>
      <c r="U8" s="412"/>
      <c r="W8" s="413" t="s">
        <v>140</v>
      </c>
      <c r="X8" s="413"/>
      <c r="Y8" s="413"/>
      <c r="Z8" s="413"/>
      <c r="AB8" s="413" t="s">
        <v>220</v>
      </c>
      <c r="AC8" s="413"/>
      <c r="AD8" s="413"/>
      <c r="AE8" s="413"/>
    </row>
    <row r="9" spans="2:35">
      <c r="B9" s="202"/>
      <c r="G9" s="203"/>
      <c r="M9" s="412"/>
      <c r="N9" s="412"/>
      <c r="O9" s="412"/>
      <c r="P9" s="412"/>
      <c r="R9" s="412"/>
      <c r="S9" s="412"/>
      <c r="T9" s="412"/>
      <c r="U9" s="412"/>
      <c r="W9" s="413"/>
      <c r="X9" s="413"/>
      <c r="Y9" s="413"/>
      <c r="Z9" s="413"/>
      <c r="AB9" s="413"/>
      <c r="AC9" s="413"/>
      <c r="AD9" s="413"/>
      <c r="AE9" s="413"/>
    </row>
    <row r="10" spans="2:35">
      <c r="B10" s="202"/>
      <c r="C10" s="418" t="str">
        <f>IF(C7="","",VLOOKUP(C7,'MEP e NE'!A:D,4,0))</f>
        <v>MEP10-117</v>
      </c>
      <c r="D10" s="418"/>
      <c r="E10" s="418"/>
      <c r="F10" s="418"/>
      <c r="G10" s="203"/>
      <c r="M10" s="412"/>
      <c r="N10" s="412"/>
      <c r="O10" s="412"/>
      <c r="P10" s="412"/>
      <c r="R10" s="412"/>
      <c r="S10" s="412"/>
      <c r="T10" s="412"/>
      <c r="U10" s="412"/>
      <c r="W10" s="413"/>
      <c r="X10" s="413"/>
      <c r="Y10" s="413"/>
      <c r="Z10" s="413"/>
      <c r="AB10" s="413"/>
      <c r="AC10" s="413"/>
      <c r="AD10" s="413"/>
      <c r="AE10" s="413"/>
    </row>
    <row r="11" spans="2:35">
      <c r="B11" s="204"/>
      <c r="C11" s="205"/>
      <c r="D11" s="205"/>
      <c r="E11" s="205"/>
      <c r="F11" s="205"/>
      <c r="G11" s="206"/>
    </row>
    <row r="12" spans="2:35">
      <c r="M12" s="412" t="s">
        <v>129</v>
      </c>
      <c r="N12" s="412"/>
      <c r="O12" s="412"/>
      <c r="P12" s="412"/>
      <c r="R12" s="414" t="s">
        <v>68</v>
      </c>
      <c r="S12" s="414"/>
      <c r="T12" s="414"/>
      <c r="U12" s="414"/>
      <c r="W12" s="413" t="s">
        <v>149</v>
      </c>
      <c r="X12" s="413"/>
      <c r="Y12" s="413"/>
      <c r="Z12" s="413"/>
      <c r="AB12" s="413" t="s">
        <v>450</v>
      </c>
      <c r="AC12" s="413"/>
      <c r="AD12" s="413"/>
      <c r="AE12" s="413"/>
    </row>
    <row r="13" spans="2:35">
      <c r="L13" s="201" t="s">
        <v>322</v>
      </c>
      <c r="M13" s="412"/>
      <c r="N13" s="412"/>
      <c r="O13" s="412"/>
      <c r="P13" s="412"/>
      <c r="R13" s="414"/>
      <c r="S13" s="414"/>
      <c r="T13" s="414"/>
      <c r="U13" s="414"/>
      <c r="W13" s="413"/>
      <c r="X13" s="413"/>
      <c r="Y13" s="413"/>
      <c r="Z13" s="413"/>
      <c r="AB13" s="413"/>
      <c r="AC13" s="413"/>
      <c r="AD13" s="413"/>
      <c r="AE13" s="413"/>
    </row>
    <row r="14" spans="2:35">
      <c r="M14" s="412"/>
      <c r="N14" s="412"/>
      <c r="O14" s="412"/>
      <c r="P14" s="412"/>
      <c r="R14" s="414"/>
      <c r="S14" s="414"/>
      <c r="T14" s="414"/>
      <c r="U14" s="414"/>
      <c r="W14" s="413"/>
      <c r="X14" s="413"/>
      <c r="Y14" s="413"/>
      <c r="Z14" s="413"/>
      <c r="AB14" s="413"/>
      <c r="AC14" s="413"/>
      <c r="AD14" s="413"/>
      <c r="AE14" s="413"/>
    </row>
    <row r="15" spans="2:35">
      <c r="K15" s="201" t="s">
        <v>322</v>
      </c>
      <c r="AI15" s="201" t="s">
        <v>322</v>
      </c>
    </row>
    <row r="16" spans="2:35">
      <c r="B16" s="422" t="s">
        <v>548</v>
      </c>
      <c r="C16" s="423"/>
      <c r="D16" s="423"/>
      <c r="E16" s="423"/>
      <c r="F16" s="423"/>
      <c r="G16" s="424"/>
      <c r="M16" s="412" t="s">
        <v>243</v>
      </c>
      <c r="N16" s="412"/>
      <c r="O16" s="412"/>
      <c r="P16" s="412"/>
      <c r="R16" s="415" t="s">
        <v>25</v>
      </c>
      <c r="S16" s="415"/>
      <c r="T16" s="415"/>
      <c r="U16" s="415"/>
      <c r="W16" s="413" t="s">
        <v>184</v>
      </c>
      <c r="X16" s="413"/>
      <c r="Y16" s="413"/>
      <c r="Z16" s="413"/>
      <c r="AB16" s="413" t="s">
        <v>690</v>
      </c>
      <c r="AC16" s="413"/>
      <c r="AD16" s="413"/>
      <c r="AE16" s="413"/>
    </row>
    <row r="17" spans="2:31">
      <c r="B17" s="425"/>
      <c r="C17" s="426"/>
      <c r="D17" s="426"/>
      <c r="E17" s="426"/>
      <c r="F17" s="426"/>
      <c r="G17" s="427"/>
      <c r="M17" s="412"/>
      <c r="N17" s="412"/>
      <c r="O17" s="412"/>
      <c r="P17" s="412"/>
      <c r="R17" s="415"/>
      <c r="S17" s="415"/>
      <c r="T17" s="415"/>
      <c r="U17" s="415"/>
      <c r="W17" s="413"/>
      <c r="X17" s="413"/>
      <c r="Y17" s="413"/>
      <c r="Z17" s="413"/>
      <c r="AB17" s="413"/>
      <c r="AC17" s="413"/>
      <c r="AD17" s="413"/>
      <c r="AE17" s="413"/>
    </row>
    <row r="18" spans="2:31" ht="15.75" customHeight="1">
      <c r="B18" s="259"/>
      <c r="C18" s="428" t="str">
        <f>IF(C7="","",VLOOKUP(C7,'Localização Prep. Tintas'!A:D,4,0))</f>
        <v>12-C</v>
      </c>
      <c r="D18" s="428"/>
      <c r="E18" s="428"/>
      <c r="F18" s="428"/>
      <c r="G18" s="206"/>
      <c r="M18" s="412"/>
      <c r="N18" s="412"/>
      <c r="O18" s="412"/>
      <c r="P18" s="412"/>
      <c r="R18" s="415"/>
      <c r="S18" s="415"/>
      <c r="T18" s="415"/>
      <c r="U18" s="415"/>
      <c r="W18" s="413"/>
      <c r="X18" s="413"/>
      <c r="Y18" s="413"/>
      <c r="Z18" s="413"/>
      <c r="AB18" s="413"/>
      <c r="AC18" s="413"/>
      <c r="AD18" s="413"/>
      <c r="AE18" s="413"/>
    </row>
    <row r="19" spans="2:31">
      <c r="B19" s="208"/>
    </row>
    <row r="20" spans="2:31">
      <c r="B20" s="422" t="s">
        <v>549</v>
      </c>
      <c r="C20" s="423"/>
      <c r="D20" s="423"/>
      <c r="E20" s="423"/>
      <c r="F20" s="423"/>
      <c r="G20" s="424"/>
    </row>
    <row r="21" spans="2:31">
      <c r="B21" s="425"/>
      <c r="C21" s="426"/>
      <c r="D21" s="426"/>
      <c r="E21" s="426"/>
      <c r="F21" s="426"/>
      <c r="G21" s="427"/>
    </row>
    <row r="22" spans="2:31">
      <c r="B22" s="259"/>
      <c r="C22" s="428" t="e">
        <f>IF(C7="","",VLOOKUP(C7,'Localização Almoxarifado'!A:D,4,0))</f>
        <v>#N/A</v>
      </c>
      <c r="D22" s="428"/>
      <c r="E22" s="428"/>
      <c r="F22" s="428"/>
      <c r="G22" s="206"/>
    </row>
  </sheetData>
  <sheetProtection algorithmName="SHA-512" hashValue="j/o2YnU6eZRekBPnm5lsNtz16gPz2WewGYlRfOFVIVWKl4ctqz2hO35pKWyniAfpX1JFmcTKyItBvKNz4N0LpA==" saltValue="bEMw6UCdYYKHoBJwunlsRg==" spinCount="100000" sheet="1" autoFilter="0"/>
  <mergeCells count="25">
    <mergeCell ref="B20:G21"/>
    <mergeCell ref="C22:F22"/>
    <mergeCell ref="C18:F18"/>
    <mergeCell ref="B16:G17"/>
    <mergeCell ref="B6:G6"/>
    <mergeCell ref="B1:AI3"/>
    <mergeCell ref="C7:F7"/>
    <mergeCell ref="C10:F10"/>
    <mergeCell ref="B4:G4"/>
    <mergeCell ref="M4:P6"/>
    <mergeCell ref="M8:P10"/>
    <mergeCell ref="M12:P14"/>
    <mergeCell ref="W16:Z18"/>
    <mergeCell ref="AB4:AE6"/>
    <mergeCell ref="AB8:AE10"/>
    <mergeCell ref="AB12:AE14"/>
    <mergeCell ref="M16:P18"/>
    <mergeCell ref="R4:U6"/>
    <mergeCell ref="R8:U10"/>
    <mergeCell ref="R12:U14"/>
    <mergeCell ref="R16:U18"/>
    <mergeCell ref="W4:Z6"/>
    <mergeCell ref="W8:Z10"/>
    <mergeCell ref="W12:Z14"/>
    <mergeCell ref="AB16:AE18"/>
  </mergeCells>
  <conditionalFormatting sqref="C10:F10">
    <cfRule type="duplicateValues" dxfId="106" priority="27"/>
  </conditionalFormatting>
  <conditionalFormatting sqref="C10:F10">
    <cfRule type="duplicateValues" dxfId="105" priority="96"/>
  </conditionalFormatting>
  <conditionalFormatting sqref="C10:F10">
    <cfRule type="duplicateValues" dxfId="104" priority="111"/>
  </conditionalFormatting>
  <conditionalFormatting sqref="C10:F10 K4:AF18">
    <cfRule type="cellIs" dxfId="103" priority="1" operator="equal">
      <formula>$C$10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otão2_Clique">
                <anchor moveWithCells="1" sizeWithCells="1">
                  <from>
                    <xdr:col>12</xdr:col>
                    <xdr:colOff>68580</xdr:colOff>
                    <xdr:row>3</xdr:row>
                    <xdr:rowOff>114300</xdr:rowOff>
                  </from>
                  <to>
                    <xdr:col>15</xdr:col>
                    <xdr:colOff>190500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otão4_Clique">
                <anchor moveWithCells="1" sizeWithCells="1">
                  <from>
                    <xdr:col>12</xdr:col>
                    <xdr:colOff>38100</xdr:colOff>
                    <xdr:row>7</xdr:row>
                    <xdr:rowOff>114300</xdr:rowOff>
                  </from>
                  <to>
                    <xdr:col>15</xdr:col>
                    <xdr:colOff>220980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Botão6_Clique">
                <anchor moveWithCells="1" sizeWithCells="1">
                  <from>
                    <xdr:col>22</xdr:col>
                    <xdr:colOff>121920</xdr:colOff>
                    <xdr:row>11</xdr:row>
                    <xdr:rowOff>114300</xdr:rowOff>
                  </from>
                  <to>
                    <xdr:col>25</xdr:col>
                    <xdr:colOff>152400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Button 8">
              <controlPr defaultSize="0" print="0" autoFill="0" autoPict="0" macro="[0]!Botão8_Clique">
                <anchor moveWithCells="1" sizeWithCells="1">
                  <from>
                    <xdr:col>27</xdr:col>
                    <xdr:colOff>60960</xdr:colOff>
                    <xdr:row>7</xdr:row>
                    <xdr:rowOff>106680</xdr:rowOff>
                  </from>
                  <to>
                    <xdr:col>30</xdr:col>
                    <xdr:colOff>190500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Button 9">
              <controlPr defaultSize="0" print="0" autoFill="0" autoPict="0" macro="[0]!Botão9_Clique">
                <anchor moveWithCells="1" sizeWithCells="1">
                  <from>
                    <xdr:col>22</xdr:col>
                    <xdr:colOff>144780</xdr:colOff>
                    <xdr:row>3</xdr:row>
                    <xdr:rowOff>99060</xdr:rowOff>
                  </from>
                  <to>
                    <xdr:col>25</xdr:col>
                    <xdr:colOff>152400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0" name="Button 10">
              <controlPr defaultSize="0" print="0" autoFill="0" autoPict="0" macro="[0]!Botão10_Clique">
                <anchor moveWithCells="1" sizeWithCells="1">
                  <from>
                    <xdr:col>12</xdr:col>
                    <xdr:colOff>60960</xdr:colOff>
                    <xdr:row>15</xdr:row>
                    <xdr:rowOff>106680</xdr:rowOff>
                  </from>
                  <to>
                    <xdr:col>15</xdr:col>
                    <xdr:colOff>220980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1" name="Button 12">
              <controlPr defaultSize="0" print="0" autoFill="0" autoPict="0" macro="[0]!Botão12_Clique">
                <anchor moveWithCells="1" sizeWithCells="1">
                  <from>
                    <xdr:col>17</xdr:col>
                    <xdr:colOff>68580</xdr:colOff>
                    <xdr:row>15</xdr:row>
                    <xdr:rowOff>106680</xdr:rowOff>
                  </from>
                  <to>
                    <xdr:col>20</xdr:col>
                    <xdr:colOff>175260</xdr:colOff>
                    <xdr:row>17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2" name="Button 13">
              <controlPr defaultSize="0" print="0" autoFill="0" autoPict="0" macro="[0]!Botão13_Clique">
                <anchor moveWithCells="1" sizeWithCells="1">
                  <from>
                    <xdr:col>17</xdr:col>
                    <xdr:colOff>38100</xdr:colOff>
                    <xdr:row>3</xdr:row>
                    <xdr:rowOff>106680</xdr:rowOff>
                  </from>
                  <to>
                    <xdr:col>20</xdr:col>
                    <xdr:colOff>182880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3" name="Button 14">
              <controlPr defaultSize="0" print="0" autoFill="0" autoPict="0" macro="[0]!Botão14_Clique">
                <anchor moveWithCells="1" sizeWithCells="1">
                  <from>
                    <xdr:col>17</xdr:col>
                    <xdr:colOff>60960</xdr:colOff>
                    <xdr:row>7</xdr:row>
                    <xdr:rowOff>114300</xdr:rowOff>
                  </from>
                  <to>
                    <xdr:col>20</xdr:col>
                    <xdr:colOff>175260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4" name="Button 15">
              <controlPr defaultSize="0" print="0" autoFill="0" autoPict="0" macro="[0]!Botão15_Clique">
                <anchor moveWithCells="1" sizeWithCells="1">
                  <from>
                    <xdr:col>17</xdr:col>
                    <xdr:colOff>68580</xdr:colOff>
                    <xdr:row>11</xdr:row>
                    <xdr:rowOff>106680</xdr:rowOff>
                  </from>
                  <to>
                    <xdr:col>20</xdr:col>
                    <xdr:colOff>182880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5" name="Button 16">
              <controlPr defaultSize="0" print="0" autoFill="0" autoPict="0" macro="[0]!Botão16_Clique">
                <anchor moveWithCells="1" sizeWithCells="1">
                  <from>
                    <xdr:col>12</xdr:col>
                    <xdr:colOff>45720</xdr:colOff>
                    <xdr:row>11</xdr:row>
                    <xdr:rowOff>106680</xdr:rowOff>
                  </from>
                  <to>
                    <xdr:col>15</xdr:col>
                    <xdr:colOff>228600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6" name="Button 17">
              <controlPr defaultSize="0" print="0" autoFill="0" autoPict="0" macro="[0]!Botão17_Clique">
                <anchor moveWithCells="1" sizeWithCells="1">
                  <from>
                    <xdr:col>22</xdr:col>
                    <xdr:colOff>121920</xdr:colOff>
                    <xdr:row>7</xdr:row>
                    <xdr:rowOff>114300</xdr:rowOff>
                  </from>
                  <to>
                    <xdr:col>25</xdr:col>
                    <xdr:colOff>152400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7" name="Button 18">
              <controlPr defaultSize="0" print="0" autoFill="0" autoPict="0" macro="[0]!Botão18_Clique">
                <anchor moveWithCells="1" sizeWithCells="1">
                  <from>
                    <xdr:col>22</xdr:col>
                    <xdr:colOff>144780</xdr:colOff>
                    <xdr:row>15</xdr:row>
                    <xdr:rowOff>106680</xdr:rowOff>
                  </from>
                  <to>
                    <xdr:col>25</xdr:col>
                    <xdr:colOff>182880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8" name="Button 19">
              <controlPr defaultSize="0" print="0" autoFill="0" autoPict="0" macro="[0]!Botão19_Clique">
                <anchor moveWithCells="1" sizeWithCells="1">
                  <from>
                    <xdr:col>27</xdr:col>
                    <xdr:colOff>45720</xdr:colOff>
                    <xdr:row>3</xdr:row>
                    <xdr:rowOff>121920</xdr:rowOff>
                  </from>
                  <to>
                    <xdr:col>30</xdr:col>
                    <xdr:colOff>190500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9" name="Button 20">
              <controlPr defaultSize="0" print="0" autoFill="0" autoPict="0" macro="[0]!Botão20_Clique">
                <anchor moveWithCells="1" sizeWithCells="1">
                  <from>
                    <xdr:col>27</xdr:col>
                    <xdr:colOff>60960</xdr:colOff>
                    <xdr:row>11</xdr:row>
                    <xdr:rowOff>30480</xdr:rowOff>
                  </from>
                  <to>
                    <xdr:col>30</xdr:col>
                    <xdr:colOff>182880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0" name="Button 21">
              <controlPr defaultSize="0" print="0" autoFill="0" autoPict="0" macro="[0]!Botão21_Clique">
                <anchor moveWithCells="1" sizeWithCells="1">
                  <from>
                    <xdr:col>1</xdr:col>
                    <xdr:colOff>22860</xdr:colOff>
                    <xdr:row>12</xdr:row>
                    <xdr:rowOff>7620</xdr:rowOff>
                  </from>
                  <to>
                    <xdr:col>6</xdr:col>
                    <xdr:colOff>228600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EC2E6C4-9177-44C9-A64A-A576562EB90B}">
            <xm:f>NOT(ISERROR(SEARCH($C$10,C10)))</xm:f>
            <xm:f>$C$10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C10:F10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2">
    <tabColor theme="9"/>
  </sheetPr>
  <dimension ref="A1:W38"/>
  <sheetViews>
    <sheetView zoomScaleNormal="100" workbookViewId="0">
      <selection activeCell="D17" sqref="D17:E17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3.6640625" style="60" customWidth="1"/>
    <col min="6" max="6" width="11.109375" style="60" customWidth="1"/>
    <col min="7" max="7" width="10.88671875" style="59" customWidth="1"/>
    <col min="8" max="8" width="11.44140625" style="59" customWidth="1"/>
    <col min="9" max="9" width="11.109375" style="60" customWidth="1"/>
    <col min="10" max="10" width="6.6640625" style="60" customWidth="1"/>
    <col min="11" max="11" width="5.109375" style="60" customWidth="1"/>
    <col min="12" max="12" width="9.109375" style="60"/>
    <col min="13" max="13" width="9.109375" style="59"/>
    <col min="14" max="14" width="7.44140625" style="59" customWidth="1"/>
    <col min="15" max="18" width="9.109375" style="59"/>
    <col min="19" max="19" width="10.88671875" style="59" bestFit="1" customWidth="1"/>
    <col min="20" max="20" width="10.109375" style="60" customWidth="1"/>
    <col min="21" max="16384" width="9.109375" style="59"/>
  </cols>
  <sheetData>
    <row r="1" spans="1:23" ht="19.5" customHeight="1">
      <c r="A1" s="125"/>
      <c r="B1" s="432" t="s">
        <v>373</v>
      </c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2"/>
      <c r="Q1" s="432"/>
    </row>
    <row r="2" spans="1:23" ht="16.5" customHeight="1">
      <c r="A2" s="126"/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432"/>
    </row>
    <row r="3" spans="1:23" ht="17.25" customHeight="1">
      <c r="A3" s="126"/>
      <c r="B3" s="462" t="s">
        <v>297</v>
      </c>
      <c r="C3" s="462"/>
      <c r="D3" s="434" t="s">
        <v>379</v>
      </c>
      <c r="E3" s="434"/>
      <c r="F3" s="434"/>
      <c r="G3" s="67"/>
      <c r="H3" s="67"/>
      <c r="I3" s="67"/>
      <c r="R3" s="60"/>
      <c r="S3" s="60"/>
    </row>
    <row r="4" spans="1:23" ht="16.5" customHeight="1">
      <c r="A4" s="179"/>
      <c r="B4" s="179"/>
      <c r="C4" s="179"/>
      <c r="D4" s="179"/>
      <c r="E4" s="179"/>
      <c r="F4" s="179"/>
      <c r="G4" s="67"/>
      <c r="H4" s="67"/>
      <c r="I4" s="67"/>
      <c r="R4" s="60"/>
      <c r="S4" s="60"/>
    </row>
    <row r="5" spans="1:23" ht="18" customHeight="1">
      <c r="A5" s="126"/>
      <c r="E5" s="463" t="s">
        <v>416</v>
      </c>
      <c r="F5" s="464"/>
      <c r="G5" s="465" t="s">
        <v>423</v>
      </c>
      <c r="H5" s="466"/>
      <c r="I5" s="466"/>
      <c r="M5" s="450" t="s">
        <v>382</v>
      </c>
      <c r="N5" s="450"/>
      <c r="O5" s="450"/>
      <c r="P5" s="450"/>
      <c r="Q5" s="450"/>
      <c r="R5" s="61"/>
      <c r="S5" s="61"/>
      <c r="U5" s="60"/>
      <c r="V5" s="60"/>
    </row>
    <row r="6" spans="1:23" ht="13.5" customHeight="1">
      <c r="A6" s="126"/>
      <c r="E6" s="187" t="s">
        <v>357</v>
      </c>
      <c r="F6" s="187" t="s">
        <v>358</v>
      </c>
      <c r="G6" s="466"/>
      <c r="H6" s="466"/>
      <c r="I6" s="466"/>
      <c r="M6" s="451" t="s">
        <v>381</v>
      </c>
      <c r="N6" s="452"/>
      <c r="O6" s="153" t="s">
        <v>298</v>
      </c>
      <c r="P6" s="153" t="s">
        <v>380</v>
      </c>
      <c r="Q6" s="153" t="s">
        <v>302</v>
      </c>
      <c r="R6" s="152"/>
      <c r="S6" s="61"/>
      <c r="T6" s="61"/>
      <c r="U6" s="60"/>
      <c r="V6" s="60"/>
      <c r="W6" s="60"/>
    </row>
    <row r="7" spans="1:23" ht="15" customHeight="1">
      <c r="A7" s="126"/>
      <c r="B7" s="459" t="s">
        <v>355</v>
      </c>
      <c r="C7" s="460"/>
      <c r="D7" s="461"/>
      <c r="E7" s="172">
        <v>7790536</v>
      </c>
      <c r="F7" s="193"/>
      <c r="G7" s="62">
        <v>9123710</v>
      </c>
      <c r="H7" s="62">
        <v>1453035</v>
      </c>
      <c r="I7" s="62"/>
      <c r="M7" s="448">
        <v>100</v>
      </c>
      <c r="N7" s="449"/>
      <c r="O7" s="64">
        <f>M7*65.2%</f>
        <v>65.2</v>
      </c>
      <c r="P7" s="64">
        <f>M7*21.7%</f>
        <v>21.7</v>
      </c>
      <c r="Q7" s="64">
        <f>M7*13%</f>
        <v>13</v>
      </c>
      <c r="T7" s="59"/>
      <c r="W7" s="60"/>
    </row>
    <row r="8" spans="1:23">
      <c r="A8" s="126"/>
      <c r="B8" s="453"/>
      <c r="C8" s="454"/>
      <c r="D8" s="455"/>
      <c r="E8" s="172">
        <v>7790964</v>
      </c>
      <c r="F8" s="192"/>
      <c r="G8" s="62">
        <v>9125752</v>
      </c>
      <c r="H8" s="62">
        <v>1453084</v>
      </c>
      <c r="I8" s="62"/>
      <c r="J8" s="194"/>
      <c r="L8" s="59"/>
      <c r="M8" s="448">
        <v>200</v>
      </c>
      <c r="N8" s="449"/>
      <c r="O8" s="64">
        <f t="shared" ref="O8:O20" si="0">M8*65.2%</f>
        <v>130.4</v>
      </c>
      <c r="P8" s="64">
        <f t="shared" ref="P8:P20" si="1">M8*21.7%</f>
        <v>43.4</v>
      </c>
      <c r="Q8" s="64">
        <f t="shared" ref="Q8:Q20" si="2">M8*13%</f>
        <v>26</v>
      </c>
      <c r="T8" s="59"/>
      <c r="W8" s="60"/>
    </row>
    <row r="9" spans="1:23">
      <c r="A9" s="126"/>
      <c r="B9" s="453"/>
      <c r="C9" s="454"/>
      <c r="D9" s="455"/>
      <c r="E9" s="172">
        <v>7791091</v>
      </c>
      <c r="F9" s="192"/>
      <c r="G9" s="62">
        <v>9125857</v>
      </c>
      <c r="H9" s="62">
        <v>1452812</v>
      </c>
      <c r="I9" s="62"/>
      <c r="J9" s="194"/>
      <c r="K9" s="194"/>
      <c r="M9" s="448">
        <v>300</v>
      </c>
      <c r="N9" s="449"/>
      <c r="O9" s="64">
        <f t="shared" si="0"/>
        <v>195.6</v>
      </c>
      <c r="P9" s="64">
        <f t="shared" si="1"/>
        <v>65.099999999999994</v>
      </c>
      <c r="Q9" s="64">
        <f t="shared" si="2"/>
        <v>39</v>
      </c>
      <c r="T9" s="59"/>
      <c r="W9" s="60"/>
    </row>
    <row r="10" spans="1:23">
      <c r="A10" s="126"/>
      <c r="B10" s="453"/>
      <c r="C10" s="454"/>
      <c r="D10" s="455"/>
      <c r="E10" s="172">
        <v>8546215</v>
      </c>
      <c r="F10" s="192"/>
      <c r="G10" s="62">
        <v>9125796</v>
      </c>
      <c r="H10" s="62">
        <v>1452805</v>
      </c>
      <c r="I10" s="62">
        <v>763679</v>
      </c>
      <c r="J10" s="194"/>
      <c r="K10" s="194"/>
      <c r="M10" s="448">
        <v>400</v>
      </c>
      <c r="N10" s="449"/>
      <c r="O10" s="64">
        <f t="shared" si="0"/>
        <v>260.8</v>
      </c>
      <c r="P10" s="64">
        <f t="shared" si="1"/>
        <v>86.8</v>
      </c>
      <c r="Q10" s="64">
        <f t="shared" si="2"/>
        <v>52</v>
      </c>
      <c r="T10" s="59"/>
      <c r="U10" s="190"/>
      <c r="W10" s="60"/>
    </row>
    <row r="11" spans="1:23">
      <c r="A11" s="126"/>
      <c r="B11" s="453"/>
      <c r="C11" s="454"/>
      <c r="D11" s="455"/>
      <c r="E11" s="172">
        <v>1453033</v>
      </c>
      <c r="F11" s="192"/>
      <c r="G11" s="62">
        <v>9054216</v>
      </c>
      <c r="H11" s="62"/>
      <c r="I11" s="62"/>
      <c r="J11" s="194"/>
      <c r="K11" s="194"/>
      <c r="M11" s="448">
        <v>500</v>
      </c>
      <c r="N11" s="449"/>
      <c r="O11" s="64">
        <f t="shared" si="0"/>
        <v>326</v>
      </c>
      <c r="P11" s="64">
        <f t="shared" si="1"/>
        <v>108.5</v>
      </c>
      <c r="Q11" s="64">
        <f t="shared" si="2"/>
        <v>65</v>
      </c>
      <c r="T11" s="59"/>
      <c r="U11" s="190"/>
      <c r="W11" s="60"/>
    </row>
    <row r="12" spans="1:23">
      <c r="A12" s="126"/>
      <c r="B12" s="453"/>
      <c r="C12" s="454"/>
      <c r="D12" s="455"/>
      <c r="E12" s="172">
        <v>1453086</v>
      </c>
      <c r="F12" s="192"/>
      <c r="G12" s="62">
        <v>2052683</v>
      </c>
      <c r="H12" s="62">
        <v>7625494</v>
      </c>
      <c r="I12" s="62"/>
      <c r="J12" s="194"/>
      <c r="K12" s="194"/>
      <c r="M12" s="448">
        <v>600</v>
      </c>
      <c r="N12" s="449"/>
      <c r="O12" s="64">
        <f t="shared" si="0"/>
        <v>391.2</v>
      </c>
      <c r="P12" s="64">
        <f t="shared" si="1"/>
        <v>130.19999999999999</v>
      </c>
      <c r="Q12" s="64">
        <f t="shared" si="2"/>
        <v>78</v>
      </c>
      <c r="T12" s="59"/>
      <c r="U12" s="190"/>
      <c r="W12" s="60"/>
    </row>
    <row r="13" spans="1:23">
      <c r="A13" s="126"/>
      <c r="B13" s="141"/>
      <c r="C13" s="151"/>
      <c r="D13" s="142"/>
      <c r="E13" s="172">
        <v>1453100</v>
      </c>
      <c r="F13" s="192"/>
      <c r="G13" s="62">
        <v>7790992</v>
      </c>
      <c r="H13" s="62">
        <v>9125774</v>
      </c>
      <c r="I13" s="62"/>
      <c r="J13" s="194"/>
      <c r="K13" s="194"/>
      <c r="M13" s="448">
        <v>700</v>
      </c>
      <c r="N13" s="449"/>
      <c r="O13" s="64">
        <f t="shared" si="0"/>
        <v>456.40000000000003</v>
      </c>
      <c r="P13" s="64">
        <f t="shared" si="1"/>
        <v>151.9</v>
      </c>
      <c r="Q13" s="64">
        <f t="shared" si="2"/>
        <v>91</v>
      </c>
      <c r="T13" s="59"/>
      <c r="W13" s="60"/>
    </row>
    <row r="14" spans="1:23">
      <c r="A14" s="126"/>
      <c r="B14" s="453"/>
      <c r="C14" s="454"/>
      <c r="D14" s="455"/>
      <c r="E14" s="140"/>
      <c r="F14" s="191"/>
      <c r="G14" s="140"/>
      <c r="H14" s="140"/>
      <c r="I14" s="62"/>
      <c r="J14" s="194"/>
      <c r="K14" s="194"/>
      <c r="M14" s="448">
        <v>800</v>
      </c>
      <c r="N14" s="449"/>
      <c r="O14" s="64">
        <f t="shared" si="0"/>
        <v>521.6</v>
      </c>
      <c r="P14" s="64">
        <f t="shared" si="1"/>
        <v>173.6</v>
      </c>
      <c r="Q14" s="64">
        <f t="shared" si="2"/>
        <v>104</v>
      </c>
      <c r="T14" s="59"/>
      <c r="W14" s="60"/>
    </row>
    <row r="15" spans="1:23">
      <c r="A15" s="126"/>
      <c r="B15" s="456"/>
      <c r="C15" s="457"/>
      <c r="D15" s="458"/>
      <c r="E15" s="140"/>
      <c r="F15" s="191"/>
      <c r="G15" s="140"/>
      <c r="H15" s="140"/>
      <c r="I15" s="62"/>
      <c r="J15" s="194"/>
      <c r="K15" s="194"/>
      <c r="M15" s="448">
        <v>900</v>
      </c>
      <c r="N15" s="449"/>
      <c r="O15" s="64">
        <f t="shared" si="0"/>
        <v>586.80000000000007</v>
      </c>
      <c r="P15" s="64">
        <f t="shared" si="1"/>
        <v>195.3</v>
      </c>
      <c r="Q15" s="64">
        <f t="shared" si="2"/>
        <v>117</v>
      </c>
      <c r="T15" s="59"/>
      <c r="W15" s="60"/>
    </row>
    <row r="16" spans="1:23" ht="18.75" customHeight="1">
      <c r="A16" s="126"/>
      <c r="F16" s="59"/>
      <c r="M16" s="448">
        <v>1000</v>
      </c>
      <c r="N16" s="449"/>
      <c r="O16" s="64">
        <f t="shared" si="0"/>
        <v>652</v>
      </c>
      <c r="P16" s="64">
        <f t="shared" si="1"/>
        <v>217</v>
      </c>
      <c r="Q16" s="64">
        <f t="shared" si="2"/>
        <v>130</v>
      </c>
      <c r="T16" s="59"/>
      <c r="W16" s="60"/>
    </row>
    <row r="17" spans="1:23">
      <c r="A17" s="126"/>
      <c r="B17" s="443" t="s">
        <v>366</v>
      </c>
      <c r="C17" s="443"/>
      <c r="D17" s="447" t="s">
        <v>412</v>
      </c>
      <c r="E17" s="447"/>
      <c r="G17" s="128"/>
      <c r="H17" s="128"/>
      <c r="M17" s="448">
        <v>1200</v>
      </c>
      <c r="N17" s="449"/>
      <c r="O17" s="64">
        <f t="shared" si="0"/>
        <v>782.4</v>
      </c>
      <c r="P17" s="64">
        <f t="shared" si="1"/>
        <v>260.39999999999998</v>
      </c>
      <c r="Q17" s="64">
        <f t="shared" si="2"/>
        <v>156</v>
      </c>
      <c r="T17" s="59"/>
      <c r="W17" s="60"/>
    </row>
    <row r="18" spans="1:23">
      <c r="A18" s="126"/>
      <c r="B18" s="443" t="s">
        <v>356</v>
      </c>
      <c r="C18" s="443"/>
      <c r="D18" s="444" t="s">
        <v>417</v>
      </c>
      <c r="E18" s="444"/>
      <c r="F18" s="127"/>
      <c r="G18" s="128"/>
      <c r="H18" s="128"/>
      <c r="M18" s="448">
        <v>1400</v>
      </c>
      <c r="N18" s="449"/>
      <c r="O18" s="64">
        <f t="shared" si="0"/>
        <v>912.80000000000007</v>
      </c>
      <c r="P18" s="64">
        <f t="shared" si="1"/>
        <v>303.8</v>
      </c>
      <c r="Q18" s="64">
        <f t="shared" si="2"/>
        <v>182</v>
      </c>
      <c r="T18" s="59"/>
      <c r="W18" s="60"/>
    </row>
    <row r="19" spans="1:23" ht="15" customHeight="1">
      <c r="A19" s="126"/>
      <c r="B19" s="445" t="s">
        <v>365</v>
      </c>
      <c r="C19" s="446"/>
      <c r="D19" s="444" t="s">
        <v>388</v>
      </c>
      <c r="E19" s="444"/>
      <c r="F19" s="127"/>
      <c r="G19" s="128"/>
      <c r="H19" s="128"/>
      <c r="M19" s="448">
        <v>1500</v>
      </c>
      <c r="N19" s="449"/>
      <c r="O19" s="64">
        <f t="shared" si="0"/>
        <v>978</v>
      </c>
      <c r="P19" s="64">
        <f t="shared" si="1"/>
        <v>325.5</v>
      </c>
      <c r="Q19" s="64">
        <f t="shared" si="2"/>
        <v>195</v>
      </c>
      <c r="T19" s="59"/>
      <c r="W19" s="60"/>
    </row>
    <row r="20" spans="1:23" ht="15.75" customHeight="1">
      <c r="A20" s="126"/>
      <c r="H20" s="435"/>
      <c r="I20" s="435"/>
      <c r="J20" s="178"/>
      <c r="K20" s="178"/>
      <c r="M20" s="448">
        <v>1600</v>
      </c>
      <c r="N20" s="449"/>
      <c r="O20" s="64">
        <f t="shared" si="0"/>
        <v>1043.2</v>
      </c>
      <c r="P20" s="64">
        <f t="shared" si="1"/>
        <v>347.2</v>
      </c>
      <c r="Q20" s="64">
        <f t="shared" si="2"/>
        <v>208</v>
      </c>
      <c r="T20" s="59"/>
      <c r="W20" s="60"/>
    </row>
    <row r="21" spans="1:23">
      <c r="A21" s="126"/>
      <c r="B21" s="436" t="s">
        <v>367</v>
      </c>
      <c r="C21" s="437"/>
      <c r="D21" s="438"/>
      <c r="E21" s="136" t="s">
        <v>375</v>
      </c>
      <c r="F21" s="439"/>
      <c r="G21" s="439"/>
      <c r="H21" s="173"/>
      <c r="I21" s="173"/>
      <c r="J21" s="173"/>
      <c r="K21" s="173"/>
      <c r="M21" s="65"/>
      <c r="N21" s="65"/>
      <c r="O21" s="65"/>
      <c r="P21" s="65"/>
      <c r="Q21" s="65"/>
      <c r="T21" s="59"/>
      <c r="V21" s="60"/>
    </row>
    <row r="22" spans="1:23" s="65" customFormat="1" ht="15.75" customHeight="1">
      <c r="A22" s="126"/>
      <c r="B22" s="440" t="s">
        <v>357</v>
      </c>
      <c r="C22" s="441"/>
      <c r="D22" s="131" t="s">
        <v>359</v>
      </c>
      <c r="E22" s="131" t="s">
        <v>374</v>
      </c>
      <c r="F22" s="442"/>
      <c r="G22" s="442"/>
      <c r="H22" s="132"/>
      <c r="I22" s="132"/>
      <c r="J22" s="132"/>
      <c r="K22" s="132"/>
      <c r="L22" s="61"/>
      <c r="V22" s="61"/>
    </row>
    <row r="23" spans="1:23" s="65" customFormat="1" ht="17.25" customHeight="1">
      <c r="A23" s="129"/>
      <c r="B23" s="440" t="s">
        <v>358</v>
      </c>
      <c r="C23" s="441"/>
      <c r="D23" s="131" t="s">
        <v>389</v>
      </c>
      <c r="E23" s="131" t="s">
        <v>278</v>
      </c>
      <c r="F23" s="433"/>
      <c r="G23" s="433"/>
      <c r="H23" s="433"/>
      <c r="I23" s="433"/>
      <c r="J23" s="132"/>
      <c r="K23" s="132"/>
      <c r="V23" s="61"/>
    </row>
    <row r="24" spans="1:23" s="65" customFormat="1" ht="20.100000000000001" customHeight="1">
      <c r="A24" s="129"/>
      <c r="T24" s="61"/>
    </row>
    <row r="25" spans="1:23" s="65" customFormat="1" ht="20.100000000000001" hidden="1" customHeight="1">
      <c r="A25" s="129"/>
      <c r="C25" s="139" t="s">
        <v>360</v>
      </c>
      <c r="N25" s="59"/>
      <c r="O25" s="59"/>
      <c r="T25" s="61"/>
    </row>
    <row r="26" spans="1:23" s="65" customFormat="1" ht="16.5" hidden="1" customHeight="1">
      <c r="A26" s="129"/>
      <c r="B26" s="144" t="s">
        <v>361</v>
      </c>
      <c r="C26" s="131" t="s">
        <v>385</v>
      </c>
      <c r="K26" s="61"/>
      <c r="L26" s="66"/>
      <c r="M26" s="59"/>
      <c r="N26" s="59"/>
      <c r="O26" s="59"/>
      <c r="P26" s="59"/>
      <c r="Q26" s="59"/>
      <c r="R26" s="59"/>
      <c r="T26" s="61"/>
    </row>
    <row r="27" spans="1:23" s="65" customFormat="1" ht="20.100000000000001" hidden="1" customHeight="1">
      <c r="A27" s="129"/>
      <c r="B27" s="144" t="s">
        <v>306</v>
      </c>
      <c r="C27" s="131" t="s">
        <v>386</v>
      </c>
      <c r="J27" s="66"/>
      <c r="K27" s="61"/>
      <c r="L27" s="66"/>
      <c r="M27" s="59"/>
      <c r="N27" s="59"/>
      <c r="O27" s="59"/>
      <c r="P27" s="59"/>
      <c r="Q27" s="59"/>
      <c r="R27" s="59"/>
      <c r="T27" s="61"/>
    </row>
    <row r="28" spans="1:23" s="65" customFormat="1" ht="22.5" hidden="1" customHeight="1">
      <c r="A28" s="129"/>
      <c r="B28" s="144" t="s">
        <v>362</v>
      </c>
      <c r="C28" s="131" t="s">
        <v>307</v>
      </c>
      <c r="F28" s="132"/>
      <c r="J28" s="66"/>
      <c r="K28" s="61"/>
      <c r="L28" s="66"/>
      <c r="M28" s="59"/>
      <c r="N28" s="59"/>
      <c r="O28" s="59"/>
      <c r="P28" s="59"/>
      <c r="Q28" s="59"/>
      <c r="R28" s="59"/>
      <c r="T28" s="61"/>
    </row>
    <row r="29" spans="1:23" s="65" customFormat="1" ht="36" hidden="1" customHeight="1">
      <c r="A29" s="129"/>
      <c r="B29" s="144" t="s">
        <v>363</v>
      </c>
      <c r="C29" s="133" t="s">
        <v>387</v>
      </c>
      <c r="J29" s="66"/>
      <c r="K29" s="61"/>
      <c r="L29" s="66"/>
      <c r="M29" s="59"/>
      <c r="N29" s="59"/>
      <c r="O29" s="59"/>
      <c r="P29" s="59"/>
      <c r="Q29" s="59"/>
      <c r="R29" s="59"/>
      <c r="T29" s="61"/>
    </row>
    <row r="30" spans="1:23" s="65" customFormat="1" ht="20.100000000000001" customHeight="1">
      <c r="A30" s="129"/>
      <c r="B30" s="134"/>
      <c r="J30" s="66"/>
      <c r="K30" s="61"/>
      <c r="L30" s="66"/>
      <c r="M30" s="59"/>
      <c r="N30" s="59"/>
      <c r="O30" s="59"/>
      <c r="P30" s="59"/>
      <c r="Q30" s="59"/>
      <c r="R30" s="59"/>
      <c r="T30" s="61"/>
    </row>
    <row r="31" spans="1:23" s="65" customFormat="1" ht="17.25" customHeight="1">
      <c r="A31" s="129"/>
      <c r="I31" s="61"/>
      <c r="J31" s="66"/>
      <c r="K31" s="60"/>
      <c r="L31" s="60"/>
      <c r="M31" s="59"/>
      <c r="N31" s="59"/>
      <c r="O31" s="59"/>
      <c r="P31" s="59"/>
      <c r="Q31" s="59"/>
      <c r="T31" s="61"/>
    </row>
    <row r="32" spans="1:23" s="60" customFormat="1" ht="21.75" customHeight="1">
      <c r="A32" s="129"/>
      <c r="B32" s="65"/>
      <c r="C32" s="65"/>
      <c r="D32" s="65"/>
      <c r="E32" s="65"/>
      <c r="F32" s="61"/>
      <c r="G32" s="65"/>
      <c r="H32" s="65"/>
      <c r="M32" s="59"/>
      <c r="N32" s="59"/>
      <c r="O32" s="59"/>
      <c r="P32" s="59"/>
      <c r="Q32" s="59"/>
      <c r="R32" s="59"/>
      <c r="S32" s="59"/>
    </row>
    <row r="33" spans="1:19" s="60" customFormat="1">
      <c r="A33" s="126"/>
      <c r="B33" s="59"/>
      <c r="C33" s="59"/>
      <c r="D33" s="59"/>
      <c r="E33" s="59"/>
      <c r="G33" s="59"/>
      <c r="H33" s="59"/>
      <c r="M33" s="59"/>
      <c r="N33" s="59"/>
      <c r="O33" s="59"/>
      <c r="P33" s="59"/>
      <c r="Q33" s="59"/>
      <c r="R33" s="59"/>
      <c r="S33" s="59"/>
    </row>
    <row r="34" spans="1:19" s="60" customFormat="1">
      <c r="A34" s="126"/>
      <c r="B34" s="59"/>
      <c r="C34" s="59"/>
      <c r="D34" s="59"/>
      <c r="G34" s="59"/>
      <c r="H34" s="59"/>
      <c r="M34" s="59"/>
      <c r="N34" s="59"/>
      <c r="O34" s="59"/>
      <c r="P34" s="59"/>
      <c r="Q34" s="59"/>
      <c r="R34" s="59"/>
      <c r="S34" s="59"/>
    </row>
    <row r="35" spans="1:19" s="60" customFormat="1">
      <c r="A35" s="126"/>
      <c r="B35" s="59"/>
      <c r="C35" s="59"/>
      <c r="D35" s="59"/>
      <c r="G35" s="59"/>
      <c r="H35" s="59"/>
      <c r="M35" s="59"/>
      <c r="N35" s="59"/>
      <c r="O35" s="59"/>
      <c r="P35" s="59"/>
      <c r="Q35" s="59"/>
      <c r="R35" s="59"/>
      <c r="S35" s="59"/>
    </row>
    <row r="36" spans="1:19" s="60" customFormat="1">
      <c r="A36" s="126"/>
      <c r="B36" s="59"/>
      <c r="C36" s="59"/>
      <c r="D36" s="59"/>
      <c r="E36" s="60" t="s">
        <v>309</v>
      </c>
      <c r="G36" s="59"/>
      <c r="H36" s="59"/>
      <c r="M36" s="59"/>
      <c r="N36" s="59"/>
      <c r="O36" s="59"/>
      <c r="P36" s="59"/>
      <c r="Q36" s="59"/>
      <c r="R36" s="59"/>
      <c r="S36" s="59"/>
    </row>
    <row r="37" spans="1:19" s="60" customFormat="1">
      <c r="A37" s="126"/>
      <c r="B37" s="59"/>
      <c r="C37" s="59"/>
      <c r="D37" s="59"/>
      <c r="G37" s="59"/>
      <c r="H37" s="59"/>
      <c r="M37" s="59"/>
      <c r="N37" s="59"/>
      <c r="O37" s="59"/>
      <c r="P37" s="59"/>
      <c r="Q37" s="59"/>
      <c r="R37" s="59"/>
      <c r="S37" s="59"/>
    </row>
    <row r="38" spans="1:19" s="60" customFormat="1">
      <c r="A38" s="59"/>
      <c r="B38" s="59"/>
      <c r="C38" s="59"/>
      <c r="D38" s="59"/>
      <c r="G38" s="59"/>
      <c r="H38" s="59"/>
      <c r="M38" s="59"/>
      <c r="N38" s="59"/>
      <c r="O38" s="59"/>
      <c r="P38" s="59"/>
      <c r="Q38" s="59"/>
      <c r="R38" s="59"/>
      <c r="S38" s="59"/>
    </row>
  </sheetData>
  <sheetProtection algorithmName="SHA-512" hashValue="7JtQL98CtPy1/1Ugd6I+xvkMqtHpraGjCMnwzGgaZcqL1KO+cG+kkInPjJPCW3E56WHxxuNn5pt/yHPKRKxhjA==" saltValue="neU3rAEin5Kdv/OXVFBPDQ==" spinCount="100000" sheet="1" objects="1" scenarios="1"/>
  <mergeCells count="36">
    <mergeCell ref="B14:D15"/>
    <mergeCell ref="B7:D12"/>
    <mergeCell ref="B3:C3"/>
    <mergeCell ref="E5:F5"/>
    <mergeCell ref="G5:I6"/>
    <mergeCell ref="M17:N17"/>
    <mergeCell ref="M18:N18"/>
    <mergeCell ref="M19:N19"/>
    <mergeCell ref="M5:Q5"/>
    <mergeCell ref="M12:N12"/>
    <mergeCell ref="M13:N13"/>
    <mergeCell ref="M14:N14"/>
    <mergeCell ref="M15:N15"/>
    <mergeCell ref="M16:N16"/>
    <mergeCell ref="M11:N11"/>
    <mergeCell ref="M6:N6"/>
    <mergeCell ref="M7:N7"/>
    <mergeCell ref="M8:N8"/>
    <mergeCell ref="M9:N9"/>
    <mergeCell ref="M10:N10"/>
    <mergeCell ref="B1:Q2"/>
    <mergeCell ref="F23:I23"/>
    <mergeCell ref="D3:F3"/>
    <mergeCell ref="H20:I20"/>
    <mergeCell ref="B21:D21"/>
    <mergeCell ref="F21:G21"/>
    <mergeCell ref="B22:C22"/>
    <mergeCell ref="F22:G22"/>
    <mergeCell ref="B18:C18"/>
    <mergeCell ref="D18:E18"/>
    <mergeCell ref="B19:C19"/>
    <mergeCell ref="D19:E19"/>
    <mergeCell ref="B23:C23"/>
    <mergeCell ref="B17:C17"/>
    <mergeCell ref="D17:E17"/>
    <mergeCell ref="M20:N20"/>
  </mergeCells>
  <conditionalFormatting sqref="F7:H8 F9:F10 E7:E13 G11:G13 I11:K11">
    <cfRule type="duplicateValues" dxfId="101" priority="65"/>
  </conditionalFormatting>
  <conditionalFormatting sqref="G7:H8 C13 F7:F10 E7:E13 G11:G13 I11:K11">
    <cfRule type="duplicateValues" dxfId="100" priority="71"/>
  </conditionalFormatting>
  <conditionalFormatting sqref="C13 H9:K15 H7:I7 H8:J8">
    <cfRule type="duplicateValues" dxfId="99" priority="78"/>
  </conditionalFormatting>
  <pageMargins left="0.24" right="0.26" top="0.78740157480314965" bottom="0.78740157480314965" header="0.31496062992125984" footer="0.31496062992125984"/>
  <pageSetup paperSize="9"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MP100692_Botão1_Clique">
                <anchor moveWithCells="1" sizeWithCells="1">
                  <from>
                    <xdr:col>13</xdr:col>
                    <xdr:colOff>335280</xdr:colOff>
                    <xdr:row>0</xdr:row>
                    <xdr:rowOff>60960</xdr:rowOff>
                  </from>
                  <to>
                    <xdr:col>14</xdr:col>
                    <xdr:colOff>594360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4">
    <tabColor theme="9"/>
  </sheetPr>
  <dimension ref="A1:S34"/>
  <sheetViews>
    <sheetView zoomScaleNormal="100" workbookViewId="0">
      <selection activeCell="G7" sqref="G7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3.33203125" style="60" customWidth="1"/>
    <col min="6" max="6" width="11.88671875" style="60" customWidth="1"/>
    <col min="7" max="7" width="11.44140625" style="59" customWidth="1"/>
    <col min="8" max="8" width="8.6640625" style="59" customWidth="1"/>
    <col min="9" max="9" width="10.6640625" style="60" customWidth="1"/>
    <col min="10" max="10" width="6.6640625" style="60" customWidth="1"/>
    <col min="11" max="11" width="10.88671875" style="60" customWidth="1"/>
    <col min="12" max="12" width="10.5546875" style="60" customWidth="1"/>
    <col min="13" max="13" width="9.109375" style="59"/>
    <col min="14" max="14" width="10" style="59" customWidth="1"/>
    <col min="15" max="18" width="9.109375" style="59"/>
    <col min="19" max="19" width="5.88671875" style="59" customWidth="1"/>
    <col min="20" max="16384" width="9.109375" style="59"/>
  </cols>
  <sheetData>
    <row r="1" spans="1:19" ht="17.25" customHeight="1">
      <c r="A1" s="125"/>
      <c r="B1" s="432" t="s">
        <v>373</v>
      </c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2"/>
      <c r="Q1" s="432"/>
      <c r="R1" s="432"/>
      <c r="S1" s="432"/>
    </row>
    <row r="2" spans="1:19" ht="16.5" customHeight="1">
      <c r="A2" s="126"/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432"/>
      <c r="R2" s="432"/>
      <c r="S2" s="432"/>
    </row>
    <row r="3" spans="1:19" ht="16.5" customHeight="1">
      <c r="A3" s="126"/>
      <c r="B3" s="462" t="s">
        <v>297</v>
      </c>
      <c r="C3" s="462"/>
      <c r="D3" s="434" t="s">
        <v>310</v>
      </c>
      <c r="E3" s="434"/>
      <c r="F3" s="67"/>
      <c r="G3" s="67"/>
      <c r="H3" s="67"/>
      <c r="I3" s="67"/>
    </row>
    <row r="4" spans="1:19" ht="16.5" customHeight="1">
      <c r="A4" s="179"/>
      <c r="B4" s="179"/>
      <c r="C4" s="179"/>
      <c r="D4" s="179"/>
      <c r="E4" s="179"/>
      <c r="F4" s="67"/>
      <c r="G4" s="67"/>
      <c r="H4" s="67"/>
      <c r="I4" s="67"/>
    </row>
    <row r="5" spans="1:19" ht="13.5" customHeight="1">
      <c r="A5" s="126"/>
      <c r="E5" s="469" t="s">
        <v>414</v>
      </c>
      <c r="F5" s="470"/>
      <c r="G5" s="467" t="s">
        <v>422</v>
      </c>
      <c r="H5" s="468"/>
      <c r="I5" s="468"/>
    </row>
    <row r="6" spans="1:19" ht="13.5" customHeight="1">
      <c r="A6" s="126"/>
      <c r="E6" s="187" t="s">
        <v>411</v>
      </c>
      <c r="F6" s="187" t="s">
        <v>358</v>
      </c>
      <c r="G6" s="468"/>
      <c r="H6" s="468"/>
      <c r="I6" s="468"/>
      <c r="M6" s="60"/>
    </row>
    <row r="7" spans="1:19" ht="15" customHeight="1">
      <c r="A7" s="126"/>
      <c r="B7" s="459" t="s">
        <v>355</v>
      </c>
      <c r="C7" s="460"/>
      <c r="D7" s="461"/>
      <c r="E7" s="186">
        <v>1452815</v>
      </c>
      <c r="F7" s="186" t="s">
        <v>434</v>
      </c>
      <c r="G7" s="150">
        <v>7635203</v>
      </c>
      <c r="H7" s="138">
        <v>2182101</v>
      </c>
      <c r="I7" s="150"/>
      <c r="M7" s="60"/>
    </row>
    <row r="8" spans="1:19">
      <c r="A8" s="126"/>
      <c r="B8" s="453"/>
      <c r="C8" s="454"/>
      <c r="D8" s="455"/>
      <c r="E8" s="169"/>
      <c r="F8" s="169"/>
      <c r="G8" s="62"/>
      <c r="H8" s="170"/>
      <c r="I8" s="62"/>
      <c r="J8" s="59"/>
      <c r="M8" s="60"/>
    </row>
    <row r="9" spans="1:19">
      <c r="A9" s="126"/>
      <c r="B9" s="453"/>
      <c r="C9" s="454"/>
      <c r="D9" s="455"/>
      <c r="E9" s="169"/>
      <c r="F9" s="169"/>
      <c r="G9" s="62"/>
      <c r="H9" s="170"/>
      <c r="I9" s="62"/>
      <c r="M9" s="60"/>
    </row>
    <row r="10" spans="1:19">
      <c r="A10" s="126"/>
      <c r="B10" s="453"/>
      <c r="C10" s="454"/>
      <c r="D10" s="455"/>
      <c r="E10" s="169"/>
      <c r="F10" s="169"/>
      <c r="G10" s="62"/>
      <c r="H10" s="170"/>
      <c r="I10" s="62"/>
      <c r="M10" s="60"/>
    </row>
    <row r="11" spans="1:19">
      <c r="A11" s="126"/>
      <c r="B11" s="453"/>
      <c r="C11" s="454"/>
      <c r="D11" s="455"/>
      <c r="E11" s="169"/>
      <c r="F11" s="169"/>
      <c r="G11" s="62"/>
      <c r="H11" s="170"/>
      <c r="I11" s="62"/>
      <c r="M11" s="60"/>
    </row>
    <row r="12" spans="1:19">
      <c r="A12" s="126"/>
      <c r="B12" s="453"/>
      <c r="C12" s="454"/>
      <c r="D12" s="455"/>
      <c r="E12" s="169"/>
      <c r="F12" s="169"/>
      <c r="G12" s="62"/>
      <c r="H12" s="170"/>
      <c r="I12" s="62"/>
      <c r="M12" s="60"/>
    </row>
    <row r="13" spans="1:19">
      <c r="A13" s="126"/>
      <c r="B13" s="141"/>
      <c r="C13" s="219"/>
      <c r="D13" s="142"/>
      <c r="E13" s="169"/>
      <c r="F13" s="169"/>
      <c r="G13" s="62"/>
      <c r="H13" s="170"/>
      <c r="I13" s="62"/>
      <c r="M13" s="60"/>
    </row>
    <row r="14" spans="1:19">
      <c r="A14" s="126"/>
      <c r="B14" s="453"/>
      <c r="C14" s="454"/>
      <c r="D14" s="455"/>
      <c r="E14" s="169"/>
      <c r="F14" s="169"/>
      <c r="G14" s="62"/>
      <c r="H14" s="170"/>
      <c r="I14" s="62"/>
      <c r="M14" s="60"/>
    </row>
    <row r="15" spans="1:19">
      <c r="A15" s="126"/>
      <c r="B15" s="456"/>
      <c r="C15" s="457"/>
      <c r="D15" s="458"/>
      <c r="E15" s="169"/>
      <c r="F15" s="169"/>
      <c r="G15" s="62"/>
      <c r="H15" s="170"/>
      <c r="I15" s="62"/>
      <c r="M15" s="60"/>
    </row>
    <row r="16" spans="1:19" ht="7.5" customHeight="1">
      <c r="A16" s="126"/>
      <c r="F16" s="59"/>
    </row>
    <row r="17" spans="1:18">
      <c r="A17" s="126"/>
      <c r="B17" s="443" t="s">
        <v>366</v>
      </c>
      <c r="C17" s="443"/>
      <c r="D17" s="447" t="s">
        <v>412</v>
      </c>
      <c r="E17" s="447"/>
      <c r="G17" s="128"/>
      <c r="H17" s="128"/>
    </row>
    <row r="18" spans="1:18">
      <c r="A18" s="126"/>
      <c r="B18" s="443" t="s">
        <v>356</v>
      </c>
      <c r="C18" s="443"/>
      <c r="D18" s="444" t="s">
        <v>417</v>
      </c>
      <c r="E18" s="444"/>
      <c r="F18" s="127"/>
      <c r="G18" s="128"/>
      <c r="H18" s="128"/>
    </row>
    <row r="19" spans="1:18" ht="15" customHeight="1">
      <c r="A19" s="126"/>
      <c r="B19" s="445" t="s">
        <v>391</v>
      </c>
      <c r="C19" s="446"/>
      <c r="D19" s="444" t="s">
        <v>338</v>
      </c>
      <c r="E19" s="444"/>
      <c r="F19" s="127"/>
      <c r="G19" s="128"/>
      <c r="H19" s="128"/>
    </row>
    <row r="20" spans="1:18" ht="19.5" customHeight="1">
      <c r="A20" s="126"/>
      <c r="H20" s="435"/>
      <c r="I20" s="435"/>
      <c r="K20" s="279"/>
      <c r="L20" s="280" t="s">
        <v>360</v>
      </c>
    </row>
    <row r="21" spans="1:18">
      <c r="A21" s="126"/>
      <c r="F21" s="471"/>
      <c r="G21" s="471"/>
      <c r="H21" s="175"/>
      <c r="I21" s="175"/>
      <c r="K21" s="281" t="s">
        <v>361</v>
      </c>
      <c r="L21" s="282" t="s">
        <v>621</v>
      </c>
    </row>
    <row r="22" spans="1:18" ht="15.75" customHeight="1">
      <c r="A22" s="126"/>
      <c r="B22" s="436" t="s">
        <v>367</v>
      </c>
      <c r="C22" s="437"/>
      <c r="D22" s="438"/>
      <c r="E22" s="136" t="s">
        <v>375</v>
      </c>
      <c r="F22" s="439"/>
      <c r="G22" s="439"/>
      <c r="H22" s="132"/>
      <c r="I22" s="132"/>
      <c r="K22" s="281" t="s">
        <v>306</v>
      </c>
      <c r="L22" s="282" t="s">
        <v>622</v>
      </c>
    </row>
    <row r="23" spans="1:18" s="65" customFormat="1" ht="17.25" customHeight="1">
      <c r="A23" s="126"/>
      <c r="B23" s="440" t="s">
        <v>357</v>
      </c>
      <c r="C23" s="441"/>
      <c r="D23" s="131" t="s">
        <v>359</v>
      </c>
      <c r="E23" s="131" t="s">
        <v>374</v>
      </c>
      <c r="F23" s="442"/>
      <c r="G23" s="442"/>
      <c r="H23" s="132"/>
      <c r="I23" s="132"/>
      <c r="J23" s="61"/>
      <c r="K23" s="281" t="s">
        <v>362</v>
      </c>
      <c r="L23" s="282" t="s">
        <v>412</v>
      </c>
    </row>
    <row r="24" spans="1:18" s="65" customFormat="1" ht="18.75" customHeight="1">
      <c r="A24" s="129"/>
      <c r="B24" s="440" t="s">
        <v>358</v>
      </c>
      <c r="C24" s="441"/>
      <c r="D24" s="131" t="s">
        <v>389</v>
      </c>
      <c r="E24" s="131" t="s">
        <v>278</v>
      </c>
      <c r="F24" s="433"/>
      <c r="G24" s="433"/>
      <c r="H24" s="433"/>
      <c r="I24" s="433"/>
      <c r="K24" s="281" t="s">
        <v>363</v>
      </c>
      <c r="L24" s="283" t="s">
        <v>278</v>
      </c>
    </row>
    <row r="25" spans="1:18" s="65" customFormat="1" ht="20.100000000000001" customHeight="1">
      <c r="A25" s="129"/>
    </row>
    <row r="26" spans="1:18" s="65" customFormat="1" ht="20.100000000000001" customHeight="1">
      <c r="A26" s="129"/>
      <c r="B26" s="134"/>
      <c r="J26" s="66"/>
      <c r="K26" s="61"/>
      <c r="L26" s="66"/>
      <c r="M26" s="59"/>
      <c r="N26" s="59"/>
      <c r="O26" s="59"/>
      <c r="P26" s="59"/>
      <c r="Q26" s="59"/>
      <c r="R26" s="59"/>
    </row>
    <row r="27" spans="1:18" s="65" customFormat="1" ht="17.25" customHeight="1">
      <c r="A27" s="129"/>
      <c r="I27" s="61"/>
      <c r="J27" s="66"/>
      <c r="K27" s="61"/>
      <c r="L27" s="66"/>
      <c r="M27" s="59"/>
      <c r="N27" s="59"/>
      <c r="O27" s="59"/>
      <c r="P27" s="59"/>
      <c r="Q27" s="59"/>
    </row>
    <row r="28" spans="1:18" s="60" customFormat="1" ht="21.75" customHeight="1">
      <c r="A28" s="129"/>
      <c r="B28" s="65"/>
      <c r="C28" s="65"/>
      <c r="D28" s="65"/>
      <c r="E28" s="65"/>
      <c r="F28" s="61"/>
      <c r="G28" s="65"/>
      <c r="H28" s="65"/>
      <c r="M28" s="59"/>
      <c r="N28" s="59"/>
      <c r="O28" s="59"/>
      <c r="P28" s="59"/>
      <c r="Q28" s="59"/>
      <c r="R28" s="59"/>
    </row>
    <row r="29" spans="1:18" s="60" customFormat="1">
      <c r="A29" s="126"/>
      <c r="B29" s="59"/>
      <c r="C29" s="59"/>
      <c r="D29" s="59"/>
      <c r="E29" s="59"/>
      <c r="G29" s="59"/>
      <c r="H29" s="59"/>
      <c r="M29" s="59"/>
      <c r="N29" s="59"/>
      <c r="O29" s="59"/>
      <c r="P29" s="59"/>
      <c r="Q29" s="59"/>
      <c r="R29" s="59"/>
    </row>
    <row r="30" spans="1:18" s="60" customFormat="1">
      <c r="A30" s="126"/>
      <c r="B30" s="59"/>
      <c r="C30" s="59"/>
      <c r="D30" s="59"/>
      <c r="G30" s="59"/>
      <c r="H30" s="59"/>
      <c r="M30" s="59"/>
      <c r="N30" s="59"/>
      <c r="O30" s="59"/>
      <c r="P30" s="59"/>
      <c r="Q30" s="59"/>
      <c r="R30" s="59"/>
    </row>
    <row r="31" spans="1:18" s="60" customFormat="1">
      <c r="A31" s="126"/>
      <c r="B31" s="59"/>
      <c r="C31" s="59"/>
      <c r="D31" s="59"/>
      <c r="G31" s="59"/>
      <c r="H31" s="59"/>
      <c r="M31" s="59"/>
      <c r="N31" s="59"/>
      <c r="O31" s="59"/>
      <c r="P31" s="59"/>
      <c r="Q31" s="59"/>
      <c r="R31" s="59"/>
    </row>
    <row r="32" spans="1:18" s="60" customFormat="1">
      <c r="A32" s="126"/>
      <c r="B32" s="59"/>
      <c r="C32" s="59"/>
      <c r="D32" s="59"/>
      <c r="E32" s="60" t="s">
        <v>309</v>
      </c>
      <c r="G32" s="59"/>
      <c r="H32" s="59"/>
      <c r="M32" s="59"/>
      <c r="N32" s="59"/>
      <c r="O32" s="59"/>
      <c r="P32" s="59"/>
      <c r="Q32" s="59"/>
      <c r="R32" s="59"/>
    </row>
    <row r="33" spans="1:18" s="60" customFormat="1">
      <c r="A33" s="126"/>
      <c r="B33" s="59"/>
      <c r="C33" s="59"/>
      <c r="D33" s="59"/>
      <c r="G33" s="59"/>
      <c r="H33" s="59"/>
      <c r="M33" s="59"/>
      <c r="N33" s="59"/>
      <c r="O33" s="59"/>
      <c r="P33" s="59"/>
      <c r="Q33" s="59"/>
      <c r="R33" s="59"/>
    </row>
    <row r="34" spans="1:18" s="60" customFormat="1">
      <c r="A34" s="59"/>
      <c r="B34" s="59"/>
      <c r="C34" s="59"/>
      <c r="D34" s="59"/>
      <c r="G34" s="59"/>
      <c r="H34" s="59"/>
      <c r="M34" s="59"/>
      <c r="N34" s="59"/>
      <c r="O34" s="59"/>
      <c r="P34" s="59"/>
      <c r="Q34" s="59"/>
      <c r="R34" s="59"/>
    </row>
  </sheetData>
  <mergeCells count="21">
    <mergeCell ref="B24:C24"/>
    <mergeCell ref="F24:I24"/>
    <mergeCell ref="H20:I20"/>
    <mergeCell ref="F21:G21"/>
    <mergeCell ref="B22:D22"/>
    <mergeCell ref="F22:G22"/>
    <mergeCell ref="B23:C23"/>
    <mergeCell ref="F23:G23"/>
    <mergeCell ref="B17:C17"/>
    <mergeCell ref="D17:E17"/>
    <mergeCell ref="B18:C18"/>
    <mergeCell ref="D18:E18"/>
    <mergeCell ref="B19:C19"/>
    <mergeCell ref="D19:E19"/>
    <mergeCell ref="G5:I6"/>
    <mergeCell ref="B1:S2"/>
    <mergeCell ref="B14:D15"/>
    <mergeCell ref="B7:D12"/>
    <mergeCell ref="B3:C3"/>
    <mergeCell ref="D3:E3"/>
    <mergeCell ref="E5:F5"/>
  </mergeCells>
  <conditionalFormatting sqref="G11:G15 G7:H8 E7:F15 H11:I11">
    <cfRule type="duplicateValues" dxfId="98" priority="38"/>
  </conditionalFormatting>
  <conditionalFormatting sqref="G11:G15 C13 E7:F15 G7:H8 H11:I11">
    <cfRule type="duplicateValues" dxfId="97" priority="43"/>
  </conditionalFormatting>
  <conditionalFormatting sqref="C13 E7:E15 G7:I15">
    <cfRule type="duplicateValues" dxfId="96" priority="1"/>
  </conditionalFormatting>
  <pageMargins left="0.23622047244094491" right="0.27559055118110237" top="0.78740157480314965" bottom="0.78740157480314965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P100692_Botão1_Clique">
                <anchor moveWithCells="1" sizeWithCells="1">
                  <from>
                    <xdr:col>15</xdr:col>
                    <xdr:colOff>259080</xdr:colOff>
                    <xdr:row>0</xdr:row>
                    <xdr:rowOff>68580</xdr:rowOff>
                  </from>
                  <to>
                    <xdr:col>16</xdr:col>
                    <xdr:colOff>327660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5">
    <tabColor theme="9"/>
  </sheetPr>
  <dimension ref="A1:U38"/>
  <sheetViews>
    <sheetView zoomScaleNormal="100" workbookViewId="0">
      <selection activeCell="C13" sqref="C13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0.33203125" style="60" customWidth="1"/>
    <col min="6" max="6" width="13" style="60" customWidth="1"/>
    <col min="7" max="7" width="10.33203125" style="60" customWidth="1"/>
    <col min="8" max="8" width="8.6640625" style="60" customWidth="1"/>
    <col min="9" max="9" width="0.88671875" style="59" customWidth="1"/>
    <col min="10" max="10" width="8.6640625" style="59" customWidth="1"/>
    <col min="11" max="11" width="10.6640625" style="59" customWidth="1"/>
    <col min="12" max="12" width="3.33203125" style="60" customWidth="1"/>
    <col min="13" max="13" width="5.109375" style="60" customWidth="1"/>
    <col min="14" max="14" width="13.6640625" style="60" customWidth="1"/>
    <col min="15" max="15" width="10.33203125" style="60" customWidth="1"/>
    <col min="16" max="16" width="10.33203125" style="59" customWidth="1"/>
    <col min="17" max="17" width="10" style="59" customWidth="1"/>
    <col min="18" max="16384" width="9.109375" style="59"/>
  </cols>
  <sheetData>
    <row r="1" spans="1:20" ht="17.25" customHeight="1">
      <c r="A1" s="125"/>
      <c r="B1" s="473" t="s">
        <v>373</v>
      </c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  <c r="Q1" s="473"/>
    </row>
    <row r="2" spans="1:20" ht="16.5" customHeight="1">
      <c r="A2" s="126"/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</row>
    <row r="3" spans="1:20" ht="16.5" customHeight="1">
      <c r="A3" s="126"/>
      <c r="B3" s="462" t="s">
        <v>297</v>
      </c>
      <c r="C3" s="462"/>
      <c r="D3" s="434" t="s">
        <v>323</v>
      </c>
      <c r="E3" s="434"/>
      <c r="F3" s="179"/>
      <c r="G3" s="179"/>
      <c r="H3" s="67"/>
      <c r="I3" s="67"/>
      <c r="J3" s="67"/>
      <c r="K3" s="67"/>
    </row>
    <row r="4" spans="1:20" ht="16.5" customHeight="1">
      <c r="A4" s="126"/>
      <c r="B4" s="179"/>
      <c r="C4" s="179"/>
      <c r="D4" s="179"/>
      <c r="E4" s="179"/>
      <c r="F4" s="179"/>
      <c r="G4" s="179"/>
      <c r="H4" s="67"/>
      <c r="I4" s="67"/>
      <c r="J4" s="67"/>
      <c r="K4" s="67"/>
    </row>
    <row r="5" spans="1:20" ht="15.75" customHeight="1">
      <c r="A5" s="126"/>
      <c r="E5" s="469" t="s">
        <v>416</v>
      </c>
      <c r="F5" s="470"/>
      <c r="G5" s="472"/>
      <c r="H5" s="467" t="s">
        <v>423</v>
      </c>
      <c r="I5" s="468"/>
      <c r="J5" s="468"/>
      <c r="K5" s="468"/>
      <c r="N5" s="481" t="s">
        <v>393</v>
      </c>
      <c r="O5" s="481"/>
      <c r="P5" s="481"/>
      <c r="Q5" s="481"/>
    </row>
    <row r="6" spans="1:20" ht="15" customHeight="1">
      <c r="A6" s="126"/>
      <c r="E6" s="181" t="s">
        <v>411</v>
      </c>
      <c r="F6" s="181" t="s">
        <v>358</v>
      </c>
      <c r="G6" s="474" t="s">
        <v>384</v>
      </c>
      <c r="H6" s="468"/>
      <c r="I6" s="468"/>
      <c r="J6" s="468"/>
      <c r="K6" s="468"/>
      <c r="N6" s="154" t="s">
        <v>383</v>
      </c>
      <c r="O6" s="155" t="s">
        <v>298</v>
      </c>
      <c r="P6" s="155" t="s">
        <v>392</v>
      </c>
      <c r="Q6" s="155" t="s">
        <v>300</v>
      </c>
    </row>
    <row r="7" spans="1:20" ht="15" customHeight="1">
      <c r="A7" s="126"/>
      <c r="B7" s="459" t="s">
        <v>355</v>
      </c>
      <c r="C7" s="460"/>
      <c r="D7" s="461"/>
      <c r="E7" s="172">
        <v>116897</v>
      </c>
      <c r="F7" s="172" t="s">
        <v>447</v>
      </c>
      <c r="G7" s="475"/>
      <c r="H7" s="150">
        <v>1938350</v>
      </c>
      <c r="I7" s="478">
        <v>1453157</v>
      </c>
      <c r="J7" s="478"/>
      <c r="K7" s="62"/>
      <c r="N7" s="64">
        <v>100</v>
      </c>
      <c r="O7" s="64">
        <f>N7*62.5%</f>
        <v>62.5</v>
      </c>
      <c r="P7" s="64">
        <f>N7*15%</f>
        <v>15</v>
      </c>
      <c r="Q7" s="64">
        <f>N7*22.5%</f>
        <v>22.5</v>
      </c>
    </row>
    <row r="8" spans="1:20">
      <c r="A8" s="126"/>
      <c r="B8" s="453"/>
      <c r="C8" s="454"/>
      <c r="D8" s="455"/>
      <c r="E8" s="169"/>
      <c r="F8" s="169"/>
      <c r="G8" s="475"/>
      <c r="H8" s="62"/>
      <c r="I8" s="477"/>
      <c r="J8" s="477"/>
      <c r="K8" s="150"/>
      <c r="L8" s="59"/>
      <c r="N8" s="198">
        <v>200</v>
      </c>
      <c r="O8" s="198">
        <f t="shared" ref="O8:O16" si="0">N8*62.5%</f>
        <v>125</v>
      </c>
      <c r="P8" s="198">
        <f t="shared" ref="P8:P16" si="1">N8*15%</f>
        <v>30</v>
      </c>
      <c r="Q8" s="198">
        <f t="shared" ref="Q8:Q16" si="2">N8*22.5%</f>
        <v>45</v>
      </c>
    </row>
    <row r="9" spans="1:20">
      <c r="A9" s="126"/>
      <c r="B9" s="453"/>
      <c r="C9" s="454"/>
      <c r="D9" s="455"/>
      <c r="E9" s="169"/>
      <c r="F9" s="169"/>
      <c r="G9" s="475"/>
      <c r="H9" s="62"/>
      <c r="I9" s="477"/>
      <c r="J9" s="477"/>
      <c r="K9" s="62"/>
      <c r="N9" s="64">
        <v>300</v>
      </c>
      <c r="O9" s="64">
        <f t="shared" si="0"/>
        <v>187.5</v>
      </c>
      <c r="P9" s="64">
        <f t="shared" si="1"/>
        <v>45</v>
      </c>
      <c r="Q9" s="64">
        <f t="shared" si="2"/>
        <v>67.5</v>
      </c>
      <c r="T9" s="190"/>
    </row>
    <row r="10" spans="1:20">
      <c r="A10" s="126"/>
      <c r="B10" s="453"/>
      <c r="C10" s="454"/>
      <c r="D10" s="455"/>
      <c r="E10" s="169"/>
      <c r="F10" s="169"/>
      <c r="G10" s="475"/>
      <c r="H10" s="62"/>
      <c r="I10" s="477"/>
      <c r="J10" s="477"/>
      <c r="K10" s="62"/>
      <c r="N10" s="198">
        <v>400</v>
      </c>
      <c r="O10" s="198">
        <f t="shared" si="0"/>
        <v>250</v>
      </c>
      <c r="P10" s="198">
        <f t="shared" si="1"/>
        <v>60</v>
      </c>
      <c r="Q10" s="198">
        <f t="shared" si="2"/>
        <v>90</v>
      </c>
      <c r="T10" s="190"/>
    </row>
    <row r="11" spans="1:20">
      <c r="A11" s="126"/>
      <c r="B11" s="453"/>
      <c r="C11" s="454"/>
      <c r="D11" s="455"/>
      <c r="E11" s="169"/>
      <c r="F11" s="169"/>
      <c r="G11" s="475"/>
      <c r="H11" s="62"/>
      <c r="I11" s="477"/>
      <c r="J11" s="477"/>
      <c r="K11" s="62"/>
      <c r="N11" s="64">
        <v>500</v>
      </c>
      <c r="O11" s="64">
        <f t="shared" si="0"/>
        <v>312.5</v>
      </c>
      <c r="P11" s="64">
        <f t="shared" si="1"/>
        <v>75</v>
      </c>
      <c r="Q11" s="64">
        <f t="shared" si="2"/>
        <v>112.5</v>
      </c>
      <c r="T11" s="190"/>
    </row>
    <row r="12" spans="1:20">
      <c r="A12" s="126"/>
      <c r="B12" s="453"/>
      <c r="C12" s="454"/>
      <c r="D12" s="455"/>
      <c r="E12" s="169"/>
      <c r="F12" s="169"/>
      <c r="G12" s="475"/>
      <c r="H12" s="62"/>
      <c r="I12" s="477" t="s">
        <v>322</v>
      </c>
      <c r="J12" s="477"/>
      <c r="K12" s="62"/>
      <c r="N12" s="198">
        <v>600</v>
      </c>
      <c r="O12" s="198">
        <f t="shared" si="0"/>
        <v>375</v>
      </c>
      <c r="P12" s="198">
        <f t="shared" si="1"/>
        <v>90</v>
      </c>
      <c r="Q12" s="198">
        <f t="shared" si="2"/>
        <v>135</v>
      </c>
    </row>
    <row r="13" spans="1:20">
      <c r="A13" s="126"/>
      <c r="B13" s="141"/>
      <c r="C13" s="219"/>
      <c r="D13" s="142"/>
      <c r="E13" s="169"/>
      <c r="F13" s="169"/>
      <c r="G13" s="475"/>
      <c r="H13" s="62"/>
      <c r="I13" s="477"/>
      <c r="J13" s="477"/>
      <c r="K13" s="62"/>
      <c r="N13" s="64">
        <v>700</v>
      </c>
      <c r="O13" s="64">
        <f t="shared" si="0"/>
        <v>437.5</v>
      </c>
      <c r="P13" s="64">
        <f t="shared" si="1"/>
        <v>105</v>
      </c>
      <c r="Q13" s="64">
        <f t="shared" si="2"/>
        <v>157.5</v>
      </c>
    </row>
    <row r="14" spans="1:20">
      <c r="A14" s="126"/>
      <c r="B14" s="453"/>
      <c r="C14" s="454"/>
      <c r="D14" s="455"/>
      <c r="E14" s="169"/>
      <c r="F14" s="169"/>
      <c r="G14" s="475"/>
      <c r="H14" s="62"/>
      <c r="I14" s="477"/>
      <c r="J14" s="477"/>
      <c r="K14" s="62"/>
      <c r="N14" s="198">
        <v>800</v>
      </c>
      <c r="O14" s="198">
        <f t="shared" si="0"/>
        <v>500</v>
      </c>
      <c r="P14" s="198">
        <f t="shared" si="1"/>
        <v>120</v>
      </c>
      <c r="Q14" s="198">
        <f t="shared" si="2"/>
        <v>180</v>
      </c>
    </row>
    <row r="15" spans="1:20">
      <c r="A15" s="126"/>
      <c r="B15" s="456"/>
      <c r="C15" s="457"/>
      <c r="D15" s="458"/>
      <c r="E15" s="169"/>
      <c r="F15" s="169"/>
      <c r="G15" s="476"/>
      <c r="H15" s="62"/>
      <c r="I15" s="477"/>
      <c r="J15" s="477"/>
      <c r="K15" s="62"/>
      <c r="N15" s="64">
        <v>900</v>
      </c>
      <c r="O15" s="64">
        <f t="shared" si="0"/>
        <v>562.5</v>
      </c>
      <c r="P15" s="64">
        <f t="shared" si="1"/>
        <v>135</v>
      </c>
      <c r="Q15" s="64">
        <f t="shared" si="2"/>
        <v>202.5</v>
      </c>
    </row>
    <row r="16" spans="1:20" ht="12.75" customHeight="1">
      <c r="A16" s="126"/>
      <c r="H16" s="59"/>
      <c r="N16" s="198">
        <v>1000</v>
      </c>
      <c r="O16" s="198">
        <f t="shared" si="0"/>
        <v>625</v>
      </c>
      <c r="P16" s="198">
        <f t="shared" si="1"/>
        <v>150</v>
      </c>
      <c r="Q16" s="198">
        <f t="shared" si="2"/>
        <v>225</v>
      </c>
    </row>
    <row r="17" spans="1:21" ht="16.5" customHeight="1">
      <c r="A17" s="126"/>
      <c r="B17" s="443" t="s">
        <v>366</v>
      </c>
      <c r="C17" s="443"/>
      <c r="D17" s="447" t="s">
        <v>412</v>
      </c>
      <c r="E17" s="447"/>
      <c r="F17" s="173"/>
      <c r="G17" s="173"/>
      <c r="I17" s="128"/>
      <c r="J17" s="128"/>
    </row>
    <row r="18" spans="1:21" ht="15.75" customHeight="1">
      <c r="A18" s="126"/>
      <c r="B18" s="443" t="s">
        <v>356</v>
      </c>
      <c r="C18" s="443"/>
      <c r="D18" s="444" t="s">
        <v>417</v>
      </c>
      <c r="E18" s="444"/>
      <c r="F18" s="132"/>
      <c r="G18" s="132"/>
      <c r="H18" s="127"/>
      <c r="I18" s="128"/>
      <c r="J18" s="128"/>
      <c r="O18" s="272" t="s">
        <v>360</v>
      </c>
    </row>
    <row r="19" spans="1:21" ht="16.5" customHeight="1">
      <c r="A19" s="126"/>
      <c r="B19" s="445" t="s">
        <v>429</v>
      </c>
      <c r="C19" s="446"/>
      <c r="D19" s="444" t="s">
        <v>316</v>
      </c>
      <c r="E19" s="444"/>
      <c r="F19" s="132"/>
      <c r="G19" s="132"/>
      <c r="H19" s="127"/>
      <c r="I19" s="128"/>
      <c r="J19" s="128"/>
      <c r="N19" s="268" t="s">
        <v>361</v>
      </c>
      <c r="O19" s="270" t="s">
        <v>616</v>
      </c>
    </row>
    <row r="20" spans="1:21">
      <c r="A20" s="126"/>
      <c r="H20" s="471"/>
      <c r="I20" s="471"/>
      <c r="J20" s="175"/>
      <c r="K20" s="175"/>
      <c r="L20" s="439"/>
      <c r="M20" s="439"/>
      <c r="N20" s="268" t="s">
        <v>306</v>
      </c>
      <c r="O20" s="269" t="s">
        <v>615</v>
      </c>
    </row>
    <row r="21" spans="1:21" ht="15.75" customHeight="1">
      <c r="A21" s="126"/>
      <c r="B21" s="436" t="s">
        <v>367</v>
      </c>
      <c r="C21" s="437"/>
      <c r="D21" s="438"/>
      <c r="E21" s="136" t="s">
        <v>375</v>
      </c>
      <c r="H21" s="439"/>
      <c r="I21" s="439"/>
      <c r="J21" s="173"/>
      <c r="K21" s="173"/>
      <c r="L21" s="433"/>
      <c r="M21" s="433"/>
      <c r="N21" s="268" t="s">
        <v>362</v>
      </c>
      <c r="O21" s="271" t="s">
        <v>412</v>
      </c>
      <c r="P21" s="65"/>
      <c r="Q21" s="65"/>
    </row>
    <row r="22" spans="1:21" s="65" customFormat="1" ht="17.25" customHeight="1">
      <c r="A22" s="126"/>
      <c r="B22" s="440" t="s">
        <v>357</v>
      </c>
      <c r="C22" s="441"/>
      <c r="D22" s="131" t="s">
        <v>359</v>
      </c>
      <c r="E22" s="131" t="s">
        <v>374</v>
      </c>
      <c r="F22" s="60"/>
      <c r="G22" s="132"/>
      <c r="H22" s="442"/>
      <c r="I22" s="442"/>
      <c r="J22" s="132"/>
      <c r="K22" s="132"/>
      <c r="L22" s="433"/>
      <c r="M22" s="433"/>
      <c r="N22" s="479" t="s">
        <v>363</v>
      </c>
      <c r="O22" s="480" t="s">
        <v>617</v>
      </c>
      <c r="P22" s="480"/>
    </row>
    <row r="23" spans="1:21" s="65" customFormat="1" ht="18.75" customHeight="1">
      <c r="A23" s="129"/>
      <c r="B23" s="440" t="s">
        <v>358</v>
      </c>
      <c r="C23" s="441"/>
      <c r="D23" s="131" t="s">
        <v>389</v>
      </c>
      <c r="E23" s="131" t="s">
        <v>278</v>
      </c>
      <c r="F23" s="132"/>
      <c r="G23" s="132"/>
      <c r="H23" s="433"/>
      <c r="I23" s="433"/>
      <c r="J23" s="433"/>
      <c r="K23" s="433"/>
      <c r="L23" s="433"/>
      <c r="M23" s="433"/>
      <c r="N23" s="479"/>
      <c r="O23" s="480"/>
      <c r="P23" s="480"/>
    </row>
    <row r="24" spans="1:21" s="65" customFormat="1" ht="20.100000000000001" customHeight="1">
      <c r="A24" s="129"/>
    </row>
    <row r="25" spans="1:21" s="65" customFormat="1" ht="20.100000000000001" hidden="1" customHeight="1">
      <c r="A25" s="129"/>
      <c r="C25" s="149" t="s">
        <v>360</v>
      </c>
      <c r="L25" s="61"/>
      <c r="Q25" s="59"/>
    </row>
    <row r="26" spans="1:21" s="65" customFormat="1" ht="16.5" hidden="1" customHeight="1">
      <c r="A26" s="129"/>
      <c r="B26" s="144" t="s">
        <v>361</v>
      </c>
      <c r="C26" s="147" t="s">
        <v>396</v>
      </c>
      <c r="D26" s="145"/>
      <c r="E26" s="145"/>
      <c r="F26" s="145"/>
      <c r="G26" s="145"/>
      <c r="L26" s="66"/>
      <c r="N26" s="61"/>
      <c r="O26" s="66"/>
      <c r="P26" s="59"/>
      <c r="Q26" s="59"/>
      <c r="R26" s="59"/>
      <c r="S26" s="59"/>
      <c r="T26" s="59"/>
      <c r="U26" s="59"/>
    </row>
    <row r="27" spans="1:21" s="65" customFormat="1" ht="20.100000000000001" hidden="1" customHeight="1">
      <c r="A27" s="129"/>
      <c r="B27" s="144" t="s">
        <v>306</v>
      </c>
      <c r="C27" s="147" t="s">
        <v>397</v>
      </c>
      <c r="D27" s="132"/>
      <c r="L27" s="66"/>
      <c r="M27" s="66"/>
      <c r="N27" s="61"/>
      <c r="O27" s="66"/>
      <c r="P27" s="59"/>
      <c r="Q27" s="59"/>
      <c r="R27" s="59"/>
      <c r="S27" s="59"/>
      <c r="T27" s="59"/>
      <c r="U27" s="59"/>
    </row>
    <row r="28" spans="1:21" s="65" customFormat="1" ht="22.5" hidden="1" customHeight="1">
      <c r="A28" s="129"/>
      <c r="B28" s="144" t="s">
        <v>362</v>
      </c>
      <c r="C28" s="147" t="s">
        <v>412</v>
      </c>
      <c r="D28" s="145"/>
      <c r="E28" s="145"/>
      <c r="F28" s="145"/>
      <c r="G28" s="145"/>
      <c r="H28" s="132"/>
      <c r="L28" s="66"/>
      <c r="M28" s="66"/>
      <c r="N28" s="61"/>
      <c r="O28" s="66"/>
      <c r="P28" s="59"/>
      <c r="Q28" s="59"/>
      <c r="R28" s="59"/>
      <c r="S28" s="59"/>
      <c r="T28" s="59"/>
      <c r="U28" s="59"/>
    </row>
    <row r="29" spans="1:21" s="65" customFormat="1" ht="31.5" hidden="1" customHeight="1">
      <c r="A29" s="129"/>
      <c r="B29" s="144" t="s">
        <v>363</v>
      </c>
      <c r="C29" s="148" t="s">
        <v>430</v>
      </c>
      <c r="D29" s="146"/>
      <c r="L29" s="61"/>
      <c r="M29" s="66"/>
      <c r="N29" s="61"/>
      <c r="O29" s="66"/>
      <c r="P29" s="59"/>
      <c r="Q29" s="59"/>
      <c r="R29" s="59"/>
      <c r="S29" s="59"/>
      <c r="T29" s="59"/>
      <c r="U29" s="59"/>
    </row>
    <row r="30" spans="1:21" s="65" customFormat="1" ht="20.100000000000001" customHeight="1">
      <c r="A30" s="129"/>
      <c r="B30" s="134"/>
      <c r="L30" s="61"/>
      <c r="M30" s="66"/>
      <c r="N30" s="61"/>
      <c r="O30" s="66"/>
      <c r="P30" s="59"/>
      <c r="Q30" s="59"/>
      <c r="R30" s="59"/>
      <c r="S30" s="59"/>
      <c r="T30" s="59"/>
      <c r="U30" s="59"/>
    </row>
    <row r="31" spans="1:21" s="65" customFormat="1" ht="17.25" customHeight="1">
      <c r="A31" s="129"/>
      <c r="L31" s="61"/>
      <c r="M31" s="66"/>
      <c r="N31" s="60"/>
      <c r="O31" s="60"/>
      <c r="P31" s="59"/>
      <c r="Q31" s="59"/>
      <c r="R31" s="59"/>
      <c r="S31" s="59"/>
      <c r="T31" s="59"/>
    </row>
    <row r="32" spans="1:21" s="60" customFormat="1" ht="21.75" customHeight="1">
      <c r="A32" s="129"/>
      <c r="B32" s="65"/>
      <c r="C32" s="65"/>
      <c r="D32" s="65"/>
      <c r="E32" s="65"/>
      <c r="F32" s="65"/>
      <c r="G32" s="65"/>
      <c r="H32" s="61"/>
      <c r="I32" s="65"/>
      <c r="J32" s="65"/>
      <c r="K32" s="65"/>
      <c r="P32" s="59"/>
      <c r="Q32" s="59"/>
      <c r="R32" s="59"/>
      <c r="S32" s="59"/>
      <c r="T32" s="59"/>
      <c r="U32" s="59"/>
    </row>
    <row r="33" spans="1:21" s="60" customFormat="1">
      <c r="A33" s="126"/>
      <c r="B33" s="59"/>
      <c r="C33" s="59"/>
      <c r="D33" s="59"/>
      <c r="E33" s="59"/>
      <c r="F33" s="59"/>
      <c r="G33" s="59"/>
      <c r="I33" s="59"/>
      <c r="J33" s="59"/>
      <c r="K33" s="59"/>
      <c r="P33" s="59"/>
      <c r="Q33" s="59"/>
      <c r="R33" s="59"/>
      <c r="S33" s="59"/>
      <c r="T33" s="59"/>
      <c r="U33" s="59"/>
    </row>
    <row r="34" spans="1:21" s="60" customFormat="1">
      <c r="A34" s="126"/>
      <c r="B34" s="59"/>
      <c r="C34" s="59"/>
      <c r="D34" s="59"/>
      <c r="I34" s="59"/>
      <c r="J34" s="59"/>
      <c r="K34" s="59"/>
      <c r="P34" s="59"/>
      <c r="Q34" s="59"/>
      <c r="R34" s="59"/>
      <c r="S34" s="59"/>
      <c r="T34" s="59"/>
      <c r="U34" s="59"/>
    </row>
    <row r="35" spans="1:21" s="60" customFormat="1">
      <c r="A35" s="126"/>
      <c r="B35" s="59"/>
      <c r="C35" s="59"/>
      <c r="D35" s="59"/>
      <c r="I35" s="59"/>
      <c r="J35" s="59"/>
      <c r="K35" s="59"/>
      <c r="P35" s="59"/>
      <c r="Q35" s="59"/>
      <c r="R35" s="59"/>
      <c r="S35" s="59"/>
      <c r="T35" s="59"/>
      <c r="U35" s="59"/>
    </row>
    <row r="36" spans="1:21" s="60" customFormat="1">
      <c r="A36" s="126"/>
      <c r="B36" s="59"/>
      <c r="C36" s="59"/>
      <c r="D36" s="59"/>
      <c r="E36" s="60" t="s">
        <v>309</v>
      </c>
      <c r="I36" s="59"/>
      <c r="J36" s="59"/>
      <c r="K36" s="59"/>
      <c r="P36" s="59"/>
      <c r="Q36" s="59"/>
      <c r="R36" s="59"/>
      <c r="S36" s="59"/>
      <c r="T36" s="59"/>
      <c r="U36" s="59"/>
    </row>
    <row r="37" spans="1:21" s="60" customFormat="1">
      <c r="A37" s="126"/>
      <c r="B37" s="59"/>
      <c r="C37" s="59"/>
      <c r="D37" s="59"/>
      <c r="I37" s="59"/>
      <c r="J37" s="59"/>
      <c r="K37" s="59"/>
      <c r="P37" s="59"/>
      <c r="Q37" s="59"/>
      <c r="R37" s="59"/>
      <c r="S37" s="59"/>
      <c r="T37" s="59"/>
      <c r="U37" s="59"/>
    </row>
    <row r="38" spans="1:21" s="60" customFormat="1">
      <c r="A38" s="59"/>
      <c r="B38" s="59"/>
      <c r="C38" s="59"/>
      <c r="D38" s="59"/>
      <c r="I38" s="59"/>
      <c r="J38" s="59"/>
      <c r="K38" s="59"/>
      <c r="P38" s="59"/>
      <c r="Q38" s="59"/>
      <c r="R38" s="59"/>
      <c r="S38" s="59"/>
      <c r="T38" s="59"/>
      <c r="U38" s="59"/>
    </row>
  </sheetData>
  <mergeCells count="36">
    <mergeCell ref="N22:N23"/>
    <mergeCell ref="O22:P23"/>
    <mergeCell ref="B23:C23"/>
    <mergeCell ref="N5:Q5"/>
    <mergeCell ref="L20:M20"/>
    <mergeCell ref="L21:M21"/>
    <mergeCell ref="L22:M22"/>
    <mergeCell ref="H23:M23"/>
    <mergeCell ref="H20:I20"/>
    <mergeCell ref="B21:D21"/>
    <mergeCell ref="H21:I21"/>
    <mergeCell ref="B22:C22"/>
    <mergeCell ref="H22:I22"/>
    <mergeCell ref="B17:C17"/>
    <mergeCell ref="D17:E17"/>
    <mergeCell ref="B18:C18"/>
    <mergeCell ref="D18:E18"/>
    <mergeCell ref="B19:C19"/>
    <mergeCell ref="D19:E19"/>
    <mergeCell ref="I12:J12"/>
    <mergeCell ref="I13:J13"/>
    <mergeCell ref="B14:D15"/>
    <mergeCell ref="I14:J14"/>
    <mergeCell ref="I15:J15"/>
    <mergeCell ref="B7:D12"/>
    <mergeCell ref="I7:J7"/>
    <mergeCell ref="I9:J9"/>
    <mergeCell ref="I10:J10"/>
    <mergeCell ref="I11:J11"/>
    <mergeCell ref="I8:J8"/>
    <mergeCell ref="B3:C3"/>
    <mergeCell ref="D3:E3"/>
    <mergeCell ref="E5:G5"/>
    <mergeCell ref="H5:K6"/>
    <mergeCell ref="B1:Q2"/>
    <mergeCell ref="G6:G15"/>
  </mergeCells>
  <conditionalFormatting sqref="H11:H15 H7:J8 I11:K11 E7:F15">
    <cfRule type="duplicateValues" dxfId="95" priority="3"/>
  </conditionalFormatting>
  <conditionalFormatting sqref="H11:H15 C13 H7:J8 I11:K11 E7:F15">
    <cfRule type="duplicateValues" dxfId="94" priority="2"/>
  </conditionalFormatting>
  <conditionalFormatting sqref="H7:K14">
    <cfRule type="duplicateValues" dxfId="93" priority="1"/>
  </conditionalFormatting>
  <pageMargins left="0.24" right="0.26" top="0.78740157480314965" bottom="0.78740157480314965" header="0.31496062992125984" footer="0.31496062992125984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P100692_Botão1_Clique">
                <anchor moveWithCells="1" sizeWithCells="1">
                  <from>
                    <xdr:col>14</xdr:col>
                    <xdr:colOff>45720</xdr:colOff>
                    <xdr:row>0</xdr:row>
                    <xdr:rowOff>60960</xdr:rowOff>
                  </from>
                  <to>
                    <xdr:col>15</xdr:col>
                    <xdr:colOff>114300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6">
    <tabColor theme="9"/>
  </sheetPr>
  <dimension ref="A1:U38"/>
  <sheetViews>
    <sheetView zoomScaleNormal="100" workbookViewId="0">
      <selection activeCell="T12" sqref="T12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0.33203125" style="60" customWidth="1"/>
    <col min="6" max="6" width="12.6640625" style="60" customWidth="1"/>
    <col min="7" max="7" width="10.33203125" style="60" customWidth="1"/>
    <col min="8" max="8" width="9.6640625" style="60" customWidth="1"/>
    <col min="9" max="9" width="0.88671875" style="59" customWidth="1"/>
    <col min="10" max="10" width="9.6640625" style="59" customWidth="1"/>
    <col min="11" max="11" width="10.6640625" style="59" customWidth="1"/>
    <col min="12" max="12" width="3.33203125" style="60" customWidth="1"/>
    <col min="13" max="13" width="5.109375" style="60" customWidth="1"/>
    <col min="14" max="14" width="13.6640625" style="60" customWidth="1"/>
    <col min="15" max="15" width="9.109375" style="60"/>
    <col min="16" max="16" width="9.5546875" style="59" bestFit="1" customWidth="1"/>
    <col min="17" max="17" width="10" style="59" customWidth="1"/>
    <col min="18" max="16384" width="9.109375" style="59"/>
  </cols>
  <sheetData>
    <row r="1" spans="1:20" ht="17.25" customHeight="1">
      <c r="A1" s="125"/>
      <c r="B1" s="473" t="s">
        <v>373</v>
      </c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  <c r="Q1" s="473"/>
    </row>
    <row r="2" spans="1:20" ht="16.5" customHeight="1">
      <c r="A2" s="126"/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</row>
    <row r="3" spans="1:20" ht="16.5" customHeight="1">
      <c r="A3" s="126"/>
      <c r="B3" s="462" t="s">
        <v>297</v>
      </c>
      <c r="C3" s="462"/>
      <c r="D3" s="434" t="s">
        <v>323</v>
      </c>
      <c r="E3" s="434"/>
      <c r="F3" s="179"/>
      <c r="G3" s="179"/>
      <c r="H3" s="67"/>
      <c r="I3" s="67"/>
      <c r="J3" s="67"/>
      <c r="K3" s="67"/>
    </row>
    <row r="4" spans="1:20" ht="16.5" customHeight="1">
      <c r="A4" s="126"/>
      <c r="B4" s="179"/>
      <c r="C4" s="179"/>
      <c r="D4" s="179"/>
      <c r="E4" s="179"/>
      <c r="F4" s="179"/>
      <c r="G4" s="179"/>
      <c r="H4" s="67"/>
      <c r="I4" s="67"/>
      <c r="J4" s="67"/>
      <c r="K4" s="67"/>
    </row>
    <row r="5" spans="1:20" ht="15" customHeight="1">
      <c r="A5" s="126"/>
      <c r="E5" s="469" t="s">
        <v>416</v>
      </c>
      <c r="F5" s="470"/>
      <c r="G5" s="470"/>
      <c r="H5" s="467" t="s">
        <v>423</v>
      </c>
      <c r="I5" s="468"/>
      <c r="J5" s="468"/>
      <c r="K5" s="468"/>
      <c r="N5" s="481" t="s">
        <v>393</v>
      </c>
      <c r="O5" s="481"/>
      <c r="P5" s="481"/>
      <c r="Q5" s="481"/>
    </row>
    <row r="6" spans="1:20" ht="18.75" customHeight="1">
      <c r="A6" s="126"/>
      <c r="E6" s="187" t="s">
        <v>411</v>
      </c>
      <c r="F6" s="187" t="s">
        <v>358</v>
      </c>
      <c r="G6" s="474" t="s">
        <v>384</v>
      </c>
      <c r="H6" s="468"/>
      <c r="I6" s="468"/>
      <c r="J6" s="468"/>
      <c r="K6" s="468"/>
      <c r="N6" s="154" t="s">
        <v>383</v>
      </c>
      <c r="O6" s="155" t="s">
        <v>298</v>
      </c>
      <c r="P6" s="155" t="s">
        <v>392</v>
      </c>
      <c r="Q6" s="155" t="s">
        <v>300</v>
      </c>
    </row>
    <row r="7" spans="1:20" ht="15" customHeight="1">
      <c r="A7" s="126"/>
      <c r="B7" s="459" t="s">
        <v>355</v>
      </c>
      <c r="C7" s="460"/>
      <c r="D7" s="461"/>
      <c r="E7" s="186">
        <v>117980</v>
      </c>
      <c r="F7" s="186" t="s">
        <v>447</v>
      </c>
      <c r="G7" s="475"/>
      <c r="H7" s="150">
        <v>1791326</v>
      </c>
      <c r="I7" s="478"/>
      <c r="J7" s="478"/>
      <c r="K7" s="62"/>
      <c r="N7" s="140">
        <v>100</v>
      </c>
      <c r="O7" s="167">
        <f>N7*74%</f>
        <v>74</v>
      </c>
      <c r="P7" s="167">
        <f>N7*15%</f>
        <v>15</v>
      </c>
      <c r="Q7" s="167">
        <f>N7*11%</f>
        <v>11</v>
      </c>
    </row>
    <row r="8" spans="1:20">
      <c r="A8" s="126"/>
      <c r="B8" s="453"/>
      <c r="C8" s="454"/>
      <c r="D8" s="455"/>
      <c r="E8" s="169"/>
      <c r="F8" s="169"/>
      <c r="G8" s="475"/>
      <c r="H8" s="62"/>
      <c r="I8" s="477"/>
      <c r="J8" s="477"/>
      <c r="K8" s="62"/>
      <c r="L8" s="59"/>
      <c r="N8" s="140">
        <v>200</v>
      </c>
      <c r="O8" s="167">
        <f t="shared" ref="O8:O16" si="0">N8*74%</f>
        <v>148</v>
      </c>
      <c r="P8" s="167">
        <f t="shared" ref="P8:P16" si="1">N8*15%</f>
        <v>30</v>
      </c>
      <c r="Q8" s="167">
        <f t="shared" ref="Q8:Q16" si="2">N8*11%</f>
        <v>22</v>
      </c>
    </row>
    <row r="9" spans="1:20">
      <c r="A9" s="126"/>
      <c r="B9" s="453"/>
      <c r="C9" s="454"/>
      <c r="D9" s="455"/>
      <c r="E9" s="169"/>
      <c r="F9" s="169"/>
      <c r="G9" s="475"/>
      <c r="H9" s="62"/>
      <c r="I9" s="477"/>
      <c r="J9" s="477"/>
      <c r="K9" s="62"/>
      <c r="N9" s="140">
        <v>300</v>
      </c>
      <c r="O9" s="167">
        <f t="shared" si="0"/>
        <v>222</v>
      </c>
      <c r="P9" s="167">
        <f t="shared" si="1"/>
        <v>45</v>
      </c>
      <c r="Q9" s="167">
        <f t="shared" si="2"/>
        <v>33</v>
      </c>
    </row>
    <row r="10" spans="1:20">
      <c r="A10" s="126"/>
      <c r="B10" s="453"/>
      <c r="C10" s="454"/>
      <c r="D10" s="455"/>
      <c r="E10" s="169"/>
      <c r="F10" s="169"/>
      <c r="G10" s="475"/>
      <c r="H10" s="62"/>
      <c r="I10" s="477"/>
      <c r="J10" s="477"/>
      <c r="K10" s="62"/>
      <c r="N10" s="140">
        <v>400</v>
      </c>
      <c r="O10" s="167">
        <f t="shared" si="0"/>
        <v>296</v>
      </c>
      <c r="P10" s="167">
        <f t="shared" si="1"/>
        <v>60</v>
      </c>
      <c r="Q10" s="167">
        <f t="shared" si="2"/>
        <v>44</v>
      </c>
    </row>
    <row r="11" spans="1:20">
      <c r="A11" s="126"/>
      <c r="B11" s="453"/>
      <c r="C11" s="454"/>
      <c r="D11" s="455"/>
      <c r="E11" s="169"/>
      <c r="F11" s="169"/>
      <c r="G11" s="475"/>
      <c r="H11" s="62"/>
      <c r="I11" s="477"/>
      <c r="J11" s="477"/>
      <c r="K11" s="62"/>
      <c r="N11" s="140">
        <v>500</v>
      </c>
      <c r="O11" s="167">
        <f t="shared" si="0"/>
        <v>370</v>
      </c>
      <c r="P11" s="167">
        <f t="shared" si="1"/>
        <v>75</v>
      </c>
      <c r="Q11" s="167">
        <f t="shared" si="2"/>
        <v>55</v>
      </c>
    </row>
    <row r="12" spans="1:20">
      <c r="A12" s="126"/>
      <c r="B12" s="453"/>
      <c r="C12" s="454"/>
      <c r="D12" s="455"/>
      <c r="E12" s="169"/>
      <c r="F12" s="169"/>
      <c r="G12" s="475"/>
      <c r="H12" s="62"/>
      <c r="I12" s="477"/>
      <c r="J12" s="477"/>
      <c r="K12" s="62"/>
      <c r="N12" s="140">
        <v>600</v>
      </c>
      <c r="O12" s="167">
        <f t="shared" si="0"/>
        <v>444</v>
      </c>
      <c r="P12" s="167">
        <f t="shared" si="1"/>
        <v>90</v>
      </c>
      <c r="Q12" s="167">
        <f t="shared" si="2"/>
        <v>66</v>
      </c>
      <c r="T12" s="190"/>
    </row>
    <row r="13" spans="1:20">
      <c r="A13" s="126"/>
      <c r="B13" s="141"/>
      <c r="C13" s="151"/>
      <c r="D13" s="142"/>
      <c r="E13" s="169"/>
      <c r="F13" s="169"/>
      <c r="G13" s="475"/>
      <c r="H13" s="62"/>
      <c r="I13" s="477"/>
      <c r="J13" s="477"/>
      <c r="K13" s="62"/>
      <c r="N13" s="140">
        <v>700</v>
      </c>
      <c r="O13" s="167">
        <f t="shared" si="0"/>
        <v>518</v>
      </c>
      <c r="P13" s="167">
        <f t="shared" si="1"/>
        <v>105</v>
      </c>
      <c r="Q13" s="167">
        <f t="shared" si="2"/>
        <v>77</v>
      </c>
      <c r="T13" s="190"/>
    </row>
    <row r="14" spans="1:20">
      <c r="A14" s="126"/>
      <c r="B14" s="453"/>
      <c r="C14" s="454"/>
      <c r="D14" s="455"/>
      <c r="E14" s="169"/>
      <c r="F14" s="169"/>
      <c r="G14" s="475"/>
      <c r="H14" s="62"/>
      <c r="I14" s="477"/>
      <c r="J14" s="477"/>
      <c r="K14" s="62"/>
      <c r="N14" s="140">
        <v>800</v>
      </c>
      <c r="O14" s="167">
        <f t="shared" si="0"/>
        <v>592</v>
      </c>
      <c r="P14" s="167">
        <f t="shared" si="1"/>
        <v>120</v>
      </c>
      <c r="Q14" s="167">
        <f t="shared" si="2"/>
        <v>88</v>
      </c>
      <c r="T14" s="190"/>
    </row>
    <row r="15" spans="1:20">
      <c r="A15" s="126"/>
      <c r="B15" s="456"/>
      <c r="C15" s="457"/>
      <c r="D15" s="458"/>
      <c r="E15" s="169"/>
      <c r="F15" s="169"/>
      <c r="G15" s="476"/>
      <c r="H15" s="62"/>
      <c r="I15" s="477"/>
      <c r="J15" s="477"/>
      <c r="K15" s="62"/>
      <c r="N15" s="140">
        <v>1000</v>
      </c>
      <c r="O15" s="167">
        <f t="shared" si="0"/>
        <v>740</v>
      </c>
      <c r="P15" s="167">
        <f t="shared" si="1"/>
        <v>150</v>
      </c>
      <c r="Q15" s="167">
        <f t="shared" si="2"/>
        <v>110</v>
      </c>
    </row>
    <row r="16" spans="1:20" ht="12.75" customHeight="1">
      <c r="A16" s="126"/>
      <c r="H16" s="59"/>
      <c r="N16" s="140">
        <v>1200</v>
      </c>
      <c r="O16" s="167">
        <f t="shared" si="0"/>
        <v>888</v>
      </c>
      <c r="P16" s="167">
        <f t="shared" si="1"/>
        <v>180</v>
      </c>
      <c r="Q16" s="167">
        <f t="shared" si="2"/>
        <v>132</v>
      </c>
    </row>
    <row r="17" spans="1:21">
      <c r="A17" s="126"/>
      <c r="B17" s="443" t="s">
        <v>366</v>
      </c>
      <c r="C17" s="443"/>
      <c r="D17" s="447" t="s">
        <v>412</v>
      </c>
      <c r="E17" s="447"/>
      <c r="F17" s="173"/>
      <c r="G17" s="173"/>
      <c r="I17" s="128"/>
      <c r="J17" s="128"/>
    </row>
    <row r="18" spans="1:21">
      <c r="A18" s="126"/>
      <c r="B18" s="443" t="s">
        <v>356</v>
      </c>
      <c r="C18" s="443"/>
      <c r="D18" s="444" t="s">
        <v>413</v>
      </c>
      <c r="E18" s="444"/>
      <c r="F18" s="132"/>
      <c r="G18" s="132"/>
      <c r="H18" s="127"/>
      <c r="I18" s="128"/>
      <c r="J18" s="128"/>
    </row>
    <row r="19" spans="1:21" ht="15" customHeight="1">
      <c r="A19" s="126"/>
      <c r="B19" s="445" t="s">
        <v>395</v>
      </c>
      <c r="C19" s="446"/>
      <c r="D19" s="444" t="s">
        <v>431</v>
      </c>
      <c r="E19" s="444"/>
      <c r="F19" s="132"/>
      <c r="G19" s="132"/>
      <c r="H19" s="127"/>
      <c r="I19" s="128"/>
      <c r="J19" s="128"/>
    </row>
    <row r="20" spans="1:21" ht="21.75" customHeight="1">
      <c r="A20" s="126"/>
      <c r="H20" s="471"/>
      <c r="I20" s="471"/>
      <c r="J20" s="175"/>
      <c r="K20" s="175"/>
      <c r="L20" s="439"/>
      <c r="M20" s="439"/>
    </row>
    <row r="21" spans="1:21" ht="15.75" customHeight="1">
      <c r="A21" s="126"/>
      <c r="B21" s="436" t="s">
        <v>367</v>
      </c>
      <c r="C21" s="437"/>
      <c r="D21" s="438"/>
      <c r="E21" s="136" t="s">
        <v>375</v>
      </c>
      <c r="H21" s="439"/>
      <c r="I21" s="439"/>
      <c r="J21" s="173"/>
      <c r="K21" s="173"/>
      <c r="L21" s="433"/>
      <c r="M21" s="433"/>
      <c r="N21" s="65"/>
      <c r="O21" s="65"/>
      <c r="P21" s="65"/>
      <c r="Q21" s="65"/>
    </row>
    <row r="22" spans="1:21" s="65" customFormat="1" ht="17.25" customHeight="1">
      <c r="A22" s="126"/>
      <c r="B22" s="440" t="s">
        <v>357</v>
      </c>
      <c r="C22" s="441"/>
      <c r="D22" s="131" t="s">
        <v>359</v>
      </c>
      <c r="E22" s="131" t="s">
        <v>374</v>
      </c>
      <c r="F22" s="132"/>
      <c r="G22" s="132"/>
      <c r="H22" s="442"/>
      <c r="I22" s="442"/>
      <c r="J22" s="132"/>
      <c r="K22" s="132"/>
      <c r="L22" s="433"/>
      <c r="M22" s="433"/>
    </row>
    <row r="23" spans="1:21" s="65" customFormat="1" ht="18.75" customHeight="1">
      <c r="A23" s="129"/>
      <c r="B23" s="440" t="s">
        <v>358</v>
      </c>
      <c r="C23" s="441"/>
      <c r="D23" s="131" t="s">
        <v>389</v>
      </c>
      <c r="E23" s="131" t="s">
        <v>278</v>
      </c>
      <c r="F23" s="132"/>
      <c r="G23" s="132"/>
      <c r="H23" s="433"/>
      <c r="I23" s="433"/>
      <c r="J23" s="433"/>
      <c r="K23" s="433"/>
      <c r="L23" s="433"/>
      <c r="M23" s="433"/>
    </row>
    <row r="24" spans="1:21" s="65" customFormat="1" ht="20.100000000000001" customHeight="1">
      <c r="A24" s="129"/>
    </row>
    <row r="25" spans="1:21" s="65" customFormat="1" ht="20.100000000000001" hidden="1" customHeight="1">
      <c r="A25" s="129"/>
      <c r="C25" s="149" t="s">
        <v>360</v>
      </c>
      <c r="L25" s="61"/>
      <c r="Q25" s="59"/>
    </row>
    <row r="26" spans="1:21" s="65" customFormat="1" ht="16.5" hidden="1" customHeight="1">
      <c r="A26" s="129"/>
      <c r="B26" s="144" t="s">
        <v>361</v>
      </c>
      <c r="C26" s="147" t="s">
        <v>396</v>
      </c>
      <c r="D26" s="145"/>
      <c r="E26" s="145"/>
      <c r="F26" s="145"/>
      <c r="G26" s="145"/>
      <c r="L26" s="66"/>
      <c r="N26" s="61"/>
      <c r="O26" s="66"/>
      <c r="P26" s="59"/>
      <c r="Q26" s="59"/>
      <c r="R26" s="59"/>
      <c r="S26" s="59"/>
      <c r="T26" s="59"/>
      <c r="U26" s="59"/>
    </row>
    <row r="27" spans="1:21" s="65" customFormat="1" ht="20.100000000000001" hidden="1" customHeight="1">
      <c r="A27" s="129"/>
      <c r="B27" s="144" t="s">
        <v>306</v>
      </c>
      <c r="C27" s="147" t="s">
        <v>397</v>
      </c>
      <c r="D27" s="132"/>
      <c r="L27" s="66"/>
      <c r="M27" s="66"/>
      <c r="N27" s="61"/>
      <c r="O27" s="66"/>
      <c r="P27" s="59"/>
      <c r="Q27" s="59"/>
      <c r="R27" s="59"/>
      <c r="S27" s="59"/>
      <c r="T27" s="59"/>
      <c r="U27" s="59"/>
    </row>
    <row r="28" spans="1:21" s="65" customFormat="1" ht="22.5" hidden="1" customHeight="1">
      <c r="A28" s="129"/>
      <c r="B28" s="144" t="s">
        <v>362</v>
      </c>
      <c r="C28" s="147" t="s">
        <v>412</v>
      </c>
      <c r="D28" s="145"/>
      <c r="E28" s="145"/>
      <c r="F28" s="145"/>
      <c r="G28" s="145"/>
      <c r="H28" s="132"/>
      <c r="L28" s="66"/>
      <c r="M28" s="66"/>
      <c r="N28" s="61"/>
      <c r="O28" s="66"/>
      <c r="P28" s="59"/>
      <c r="Q28" s="59"/>
      <c r="R28" s="59"/>
      <c r="S28" s="59"/>
      <c r="T28" s="59"/>
      <c r="U28" s="59"/>
    </row>
    <row r="29" spans="1:21" s="65" customFormat="1" ht="35.25" hidden="1" customHeight="1">
      <c r="A29" s="129"/>
      <c r="B29" s="144" t="s">
        <v>363</v>
      </c>
      <c r="C29" s="148" t="s">
        <v>430</v>
      </c>
      <c r="D29" s="146"/>
      <c r="L29" s="61"/>
      <c r="M29" s="66"/>
      <c r="N29" s="61"/>
      <c r="O29" s="66"/>
      <c r="P29" s="59"/>
      <c r="Q29" s="59"/>
      <c r="R29" s="59"/>
      <c r="S29" s="59"/>
      <c r="T29" s="59"/>
      <c r="U29" s="59"/>
    </row>
    <row r="30" spans="1:21" s="65" customFormat="1" ht="20.100000000000001" customHeight="1">
      <c r="A30" s="129"/>
      <c r="B30" s="134"/>
      <c r="L30" s="61"/>
      <c r="M30" s="66"/>
      <c r="N30" s="61"/>
      <c r="O30" s="66"/>
      <c r="P30" s="59"/>
      <c r="Q30" s="59"/>
      <c r="R30" s="59"/>
      <c r="S30" s="59"/>
      <c r="T30" s="59"/>
      <c r="U30" s="59"/>
    </row>
    <row r="31" spans="1:21" s="65" customFormat="1" ht="17.25" customHeight="1">
      <c r="A31" s="129"/>
      <c r="L31" s="61"/>
      <c r="M31" s="66"/>
      <c r="N31" s="60"/>
      <c r="O31" s="60"/>
      <c r="P31" s="59"/>
      <c r="Q31" s="59"/>
      <c r="R31" s="59"/>
      <c r="S31" s="59"/>
      <c r="T31" s="59"/>
    </row>
    <row r="32" spans="1:21" s="60" customFormat="1" ht="21.75" customHeight="1">
      <c r="A32" s="129"/>
      <c r="B32" s="65"/>
      <c r="C32" s="65"/>
      <c r="D32" s="65"/>
      <c r="E32" s="65"/>
      <c r="F32" s="65"/>
      <c r="G32" s="65"/>
      <c r="H32" s="61"/>
      <c r="I32" s="65"/>
      <c r="J32" s="65"/>
      <c r="K32" s="65"/>
      <c r="P32" s="59"/>
      <c r="Q32" s="59"/>
      <c r="R32" s="59"/>
      <c r="S32" s="59"/>
      <c r="T32" s="59"/>
      <c r="U32" s="59"/>
    </row>
    <row r="33" spans="1:21" s="60" customFormat="1">
      <c r="A33" s="126"/>
      <c r="B33" s="59"/>
      <c r="C33" s="59"/>
      <c r="D33" s="59"/>
      <c r="E33" s="59"/>
      <c r="F33" s="59"/>
      <c r="G33" s="59"/>
      <c r="I33" s="59"/>
      <c r="J33" s="59"/>
      <c r="K33" s="59"/>
      <c r="P33" s="59"/>
      <c r="Q33" s="59"/>
      <c r="R33" s="59"/>
      <c r="S33" s="59"/>
      <c r="T33" s="59"/>
      <c r="U33" s="59"/>
    </row>
    <row r="34" spans="1:21" s="60" customFormat="1">
      <c r="A34" s="126"/>
      <c r="B34" s="59"/>
      <c r="C34" s="59"/>
      <c r="D34" s="59"/>
      <c r="I34" s="59"/>
      <c r="J34" s="59"/>
      <c r="K34" s="59"/>
      <c r="P34" s="59"/>
      <c r="Q34" s="59"/>
      <c r="R34" s="59"/>
      <c r="S34" s="59"/>
      <c r="T34" s="59"/>
      <c r="U34" s="59"/>
    </row>
    <row r="35" spans="1:21" s="60" customFormat="1">
      <c r="A35" s="126"/>
      <c r="B35" s="59"/>
      <c r="C35" s="59"/>
      <c r="D35" s="59"/>
      <c r="I35" s="59"/>
      <c r="J35" s="59"/>
      <c r="K35" s="59"/>
      <c r="P35" s="59"/>
      <c r="Q35" s="59"/>
      <c r="R35" s="59"/>
      <c r="S35" s="59"/>
      <c r="T35" s="59"/>
      <c r="U35" s="59"/>
    </row>
    <row r="36" spans="1:21" s="60" customFormat="1">
      <c r="A36" s="126"/>
      <c r="B36" s="59"/>
      <c r="C36" s="59"/>
      <c r="D36" s="59"/>
      <c r="E36" s="60" t="s">
        <v>309</v>
      </c>
      <c r="I36" s="59"/>
      <c r="J36" s="59"/>
      <c r="K36" s="59"/>
      <c r="P36" s="59"/>
      <c r="Q36" s="59"/>
      <c r="R36" s="59"/>
      <c r="S36" s="59"/>
      <c r="T36" s="59"/>
      <c r="U36" s="59"/>
    </row>
    <row r="37" spans="1:21" s="60" customFormat="1">
      <c r="A37" s="126"/>
      <c r="B37" s="59"/>
      <c r="C37" s="59"/>
      <c r="D37" s="59"/>
      <c r="I37" s="59"/>
      <c r="J37" s="59"/>
      <c r="K37" s="59"/>
      <c r="P37" s="59"/>
      <c r="Q37" s="59"/>
      <c r="R37" s="59"/>
      <c r="S37" s="59"/>
      <c r="T37" s="59"/>
      <c r="U37" s="59"/>
    </row>
    <row r="38" spans="1:21" s="60" customFormat="1">
      <c r="A38" s="59"/>
      <c r="B38" s="59"/>
      <c r="C38" s="59"/>
      <c r="D38" s="59"/>
      <c r="I38" s="59"/>
      <c r="J38" s="59"/>
      <c r="K38" s="59"/>
      <c r="P38" s="59"/>
      <c r="Q38" s="59"/>
      <c r="R38" s="59"/>
      <c r="S38" s="59"/>
      <c r="T38" s="59"/>
      <c r="U38" s="59"/>
    </row>
  </sheetData>
  <sheetProtection algorithmName="SHA-512" hashValue="2CxtEs5QcwYP5Huh0Y0Bk+mGeZij+FGzY5sj0Yhd1HP3m8YglDqxzd+hoDzr8ywBGiTHb1R9dJtG8OlWzClYJg==" saltValue="eCUbMx6y4x09eCrHJcvtxw==" spinCount="100000" sheet="1" objects="1" scenarios="1"/>
  <mergeCells count="34">
    <mergeCell ref="H20:I20"/>
    <mergeCell ref="B23:C23"/>
    <mergeCell ref="H23:M23"/>
    <mergeCell ref="L20:M20"/>
    <mergeCell ref="B21:D21"/>
    <mergeCell ref="H21:I21"/>
    <mergeCell ref="L21:M21"/>
    <mergeCell ref="B22:C22"/>
    <mergeCell ref="H22:I22"/>
    <mergeCell ref="L22:M22"/>
    <mergeCell ref="I15:J15"/>
    <mergeCell ref="I13:J13"/>
    <mergeCell ref="D17:E17"/>
    <mergeCell ref="B18:C18"/>
    <mergeCell ref="B19:C19"/>
    <mergeCell ref="D19:E19"/>
    <mergeCell ref="B17:C17"/>
    <mergeCell ref="D18:E18"/>
    <mergeCell ref="B1:Q2"/>
    <mergeCell ref="G6:G15"/>
    <mergeCell ref="N5:Q5"/>
    <mergeCell ref="B3:C3"/>
    <mergeCell ref="D3:E3"/>
    <mergeCell ref="E5:G5"/>
    <mergeCell ref="H5:K6"/>
    <mergeCell ref="B7:D12"/>
    <mergeCell ref="I7:J7"/>
    <mergeCell ref="I8:J8"/>
    <mergeCell ref="I9:J9"/>
    <mergeCell ref="I10:J10"/>
    <mergeCell ref="I11:J11"/>
    <mergeCell ref="I12:J12"/>
    <mergeCell ref="I14:J14"/>
    <mergeCell ref="B14:D15"/>
  </mergeCells>
  <conditionalFormatting sqref="H11:H15 H7:J8 E7:F15 I11:K11">
    <cfRule type="duplicateValues" dxfId="92" priority="3"/>
  </conditionalFormatting>
  <conditionalFormatting sqref="H11:H15 C13 E7:F15 H7:J8 I11:K11">
    <cfRule type="duplicateValues" dxfId="91" priority="2"/>
  </conditionalFormatting>
  <conditionalFormatting sqref="H7:K14">
    <cfRule type="duplicateValues" dxfId="90" priority="1"/>
  </conditionalFormatting>
  <pageMargins left="0.24" right="0.26" top="0.78740157480314965" bottom="0.78740157480314965" header="0.31496062992125984" footer="0.31496062992125984"/>
  <pageSetup paperSize="9" scale="6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MP100692_Botão1_Clique">
                <anchor moveWithCells="1" sizeWithCells="1">
                  <from>
                    <xdr:col>13</xdr:col>
                    <xdr:colOff>868680</xdr:colOff>
                    <xdr:row>0</xdr:row>
                    <xdr:rowOff>68580</xdr:rowOff>
                  </from>
                  <to>
                    <xdr:col>15</xdr:col>
                    <xdr:colOff>22860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0">
    <tabColor theme="9"/>
  </sheetPr>
  <dimension ref="A1:V32"/>
  <sheetViews>
    <sheetView zoomScale="85" zoomScaleNormal="85" workbookViewId="0">
      <selection activeCell="D3" sqref="D3:F3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0.33203125" style="60" customWidth="1"/>
    <col min="6" max="6" width="4" style="60" customWidth="1"/>
    <col min="7" max="7" width="11.5546875" style="60" customWidth="1"/>
    <col min="8" max="8" width="9" style="59" customWidth="1"/>
    <col min="9" max="9" width="8" style="59" customWidth="1"/>
    <col min="10" max="10" width="0.6640625" style="59" customWidth="1"/>
    <col min="11" max="11" width="8.6640625" style="60" customWidth="1"/>
    <col min="12" max="12" width="9.33203125" style="60" customWidth="1"/>
    <col min="13" max="13" width="6.6640625" style="60" customWidth="1"/>
    <col min="14" max="15" width="9.109375" style="60"/>
    <col min="16" max="16" width="9.109375" style="59"/>
    <col min="17" max="17" width="10" style="59" customWidth="1"/>
    <col min="18" max="16384" width="9.109375" style="59"/>
  </cols>
  <sheetData>
    <row r="1" spans="1:22" ht="17.25" customHeight="1">
      <c r="A1" s="125"/>
      <c r="B1" s="487" t="s">
        <v>373</v>
      </c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9"/>
    </row>
    <row r="2" spans="1:22" ht="16.5" customHeight="1">
      <c r="A2" s="126"/>
      <c r="B2" s="490"/>
      <c r="C2" s="491"/>
      <c r="D2" s="491"/>
      <c r="E2" s="491"/>
      <c r="F2" s="491"/>
      <c r="G2" s="491"/>
      <c r="H2" s="491"/>
      <c r="I2" s="491"/>
      <c r="J2" s="491"/>
      <c r="K2" s="491"/>
      <c r="L2" s="491"/>
      <c r="M2" s="491"/>
      <c r="N2" s="491"/>
      <c r="O2" s="491"/>
      <c r="P2" s="491"/>
      <c r="Q2" s="491"/>
      <c r="R2" s="491"/>
      <c r="S2" s="491"/>
      <c r="T2" s="492"/>
    </row>
    <row r="3" spans="1:22" ht="16.5" customHeight="1">
      <c r="A3" s="126"/>
      <c r="B3" s="462" t="s">
        <v>297</v>
      </c>
      <c r="C3" s="462"/>
      <c r="D3" s="434" t="s">
        <v>314</v>
      </c>
      <c r="E3" s="434"/>
      <c r="F3" s="434"/>
      <c r="G3" s="67"/>
      <c r="H3" s="67"/>
      <c r="I3" s="67"/>
      <c r="J3" s="67"/>
      <c r="K3" s="67"/>
      <c r="V3" s="59">
        <v>2</v>
      </c>
    </row>
    <row r="4" spans="1:22" ht="6.75" customHeight="1">
      <c r="A4" s="179"/>
      <c r="B4" s="179"/>
      <c r="C4" s="179"/>
      <c r="D4" s="179"/>
      <c r="E4" s="179"/>
      <c r="F4" s="179"/>
      <c r="G4" s="67"/>
      <c r="H4" s="67"/>
      <c r="I4" s="67"/>
      <c r="J4" s="67"/>
      <c r="K4" s="67"/>
    </row>
    <row r="5" spans="1:22" ht="17.25" customHeight="1">
      <c r="A5" s="126"/>
      <c r="E5" s="469" t="s">
        <v>416</v>
      </c>
      <c r="F5" s="470"/>
      <c r="G5" s="470"/>
      <c r="H5" s="459" t="s">
        <v>418</v>
      </c>
      <c r="I5" s="498"/>
      <c r="J5" s="498"/>
      <c r="K5" s="498"/>
      <c r="L5" s="499"/>
    </row>
    <row r="6" spans="1:22" ht="13.5" customHeight="1">
      <c r="A6" s="126"/>
      <c r="E6" s="496" t="s">
        <v>411</v>
      </c>
      <c r="F6" s="497"/>
      <c r="G6" s="183" t="s">
        <v>358</v>
      </c>
      <c r="H6" s="500"/>
      <c r="I6" s="500"/>
      <c r="J6" s="500"/>
      <c r="K6" s="500"/>
      <c r="L6" s="501"/>
      <c r="P6" s="60"/>
    </row>
    <row r="7" spans="1:22" ht="15" customHeight="1">
      <c r="A7" s="126"/>
      <c r="B7" s="459" t="s">
        <v>355</v>
      </c>
      <c r="C7" s="460"/>
      <c r="D7" s="461"/>
      <c r="E7" s="493">
        <v>1452745</v>
      </c>
      <c r="F7" s="482"/>
      <c r="G7" s="484" t="s">
        <v>453</v>
      </c>
      <c r="H7" s="150">
        <v>402415</v>
      </c>
      <c r="I7" s="494">
        <v>7950283</v>
      </c>
      <c r="J7" s="495"/>
      <c r="K7" s="138">
        <v>5358558</v>
      </c>
      <c r="L7" s="62">
        <v>1453776</v>
      </c>
      <c r="P7" s="60"/>
    </row>
    <row r="8" spans="1:22">
      <c r="A8" s="126"/>
      <c r="B8" s="453"/>
      <c r="C8" s="454"/>
      <c r="D8" s="455"/>
      <c r="E8" s="482">
        <v>4814164</v>
      </c>
      <c r="F8" s="483"/>
      <c r="G8" s="485"/>
      <c r="H8" s="62"/>
      <c r="I8" s="477"/>
      <c r="J8" s="477"/>
      <c r="K8" s="62"/>
      <c r="L8" s="62"/>
      <c r="M8" s="59"/>
      <c r="P8" s="60"/>
    </row>
    <row r="9" spans="1:22">
      <c r="A9" s="126"/>
      <c r="B9" s="453"/>
      <c r="C9" s="454"/>
      <c r="D9" s="455"/>
      <c r="E9" s="482">
        <v>2770266</v>
      </c>
      <c r="F9" s="483"/>
      <c r="G9" s="485"/>
      <c r="H9" s="62"/>
      <c r="I9" s="477"/>
      <c r="J9" s="477"/>
      <c r="K9" s="62"/>
      <c r="L9" s="62"/>
      <c r="P9" s="60"/>
    </row>
    <row r="10" spans="1:22">
      <c r="A10" s="126"/>
      <c r="B10" s="453"/>
      <c r="C10" s="454"/>
      <c r="D10" s="455"/>
      <c r="E10" s="482">
        <v>1676512</v>
      </c>
      <c r="F10" s="483"/>
      <c r="G10" s="485"/>
      <c r="H10" s="62"/>
      <c r="I10" s="477"/>
      <c r="J10" s="477"/>
      <c r="K10" s="62"/>
      <c r="L10" s="62"/>
      <c r="P10" s="60"/>
    </row>
    <row r="11" spans="1:22">
      <c r="A11" s="126"/>
      <c r="B11" s="453"/>
      <c r="C11" s="454"/>
      <c r="D11" s="455"/>
      <c r="E11" s="482">
        <v>2781902</v>
      </c>
      <c r="F11" s="483"/>
      <c r="G11" s="485"/>
      <c r="H11" s="62"/>
      <c r="I11" s="477"/>
      <c r="J11" s="477"/>
      <c r="K11" s="62"/>
      <c r="L11" s="62"/>
      <c r="P11" s="60"/>
    </row>
    <row r="12" spans="1:22">
      <c r="A12" s="126"/>
      <c r="B12" s="453"/>
      <c r="C12" s="454"/>
      <c r="D12" s="455"/>
      <c r="E12" s="482"/>
      <c r="F12" s="483"/>
      <c r="G12" s="485"/>
      <c r="H12" s="62"/>
      <c r="I12" s="477"/>
      <c r="J12" s="477"/>
      <c r="K12" s="62"/>
      <c r="L12" s="62"/>
      <c r="P12" s="60"/>
    </row>
    <row r="13" spans="1:22">
      <c r="A13" s="126"/>
      <c r="B13" s="141"/>
      <c r="C13" s="219">
        <v>2781902</v>
      </c>
      <c r="D13" s="142"/>
      <c r="E13" s="482"/>
      <c r="F13" s="483"/>
      <c r="G13" s="485"/>
      <c r="H13" s="62"/>
      <c r="I13" s="477"/>
      <c r="J13" s="477"/>
      <c r="K13" s="62"/>
      <c r="L13" s="62"/>
      <c r="P13" s="60"/>
    </row>
    <row r="14" spans="1:22">
      <c r="A14" s="126"/>
      <c r="B14" s="453"/>
      <c r="C14" s="454"/>
      <c r="D14" s="455"/>
      <c r="E14" s="482"/>
      <c r="F14" s="483"/>
      <c r="G14" s="485"/>
      <c r="H14" s="62"/>
      <c r="I14" s="477"/>
      <c r="J14" s="477"/>
      <c r="K14" s="62"/>
      <c r="L14" s="62"/>
      <c r="P14" s="60"/>
    </row>
    <row r="15" spans="1:22">
      <c r="A15" s="126"/>
      <c r="B15" s="456"/>
      <c r="C15" s="457"/>
      <c r="D15" s="458"/>
      <c r="E15" s="482"/>
      <c r="F15" s="483"/>
      <c r="G15" s="486"/>
      <c r="H15" s="62"/>
      <c r="I15" s="477"/>
      <c r="J15" s="477"/>
      <c r="K15" s="62"/>
      <c r="L15" s="62"/>
      <c r="P15" s="60"/>
    </row>
    <row r="16" spans="1:22" ht="7.5" customHeight="1">
      <c r="A16" s="126"/>
      <c r="G16" s="59"/>
    </row>
    <row r="17" spans="1:21">
      <c r="A17" s="126"/>
      <c r="B17" s="443" t="s">
        <v>366</v>
      </c>
      <c r="C17" s="443"/>
      <c r="D17" s="447" t="s">
        <v>412</v>
      </c>
      <c r="E17" s="447"/>
      <c r="H17" s="128"/>
      <c r="I17" s="128"/>
    </row>
    <row r="18" spans="1:21">
      <c r="A18" s="126"/>
      <c r="B18" s="443" t="s">
        <v>356</v>
      </c>
      <c r="C18" s="443"/>
      <c r="D18" s="444" t="s">
        <v>417</v>
      </c>
      <c r="E18" s="444"/>
      <c r="G18" s="127"/>
      <c r="H18" s="128"/>
      <c r="I18" s="128"/>
    </row>
    <row r="19" spans="1:21" ht="15" customHeight="1">
      <c r="A19" s="126"/>
      <c r="B19" s="445" t="s">
        <v>365</v>
      </c>
      <c r="C19" s="446"/>
      <c r="D19" s="444" t="s">
        <v>319</v>
      </c>
      <c r="E19" s="444"/>
      <c r="G19" s="127"/>
      <c r="H19" s="128"/>
      <c r="I19" s="128"/>
    </row>
    <row r="20" spans="1:21" ht="10.5" customHeight="1">
      <c r="A20" s="126"/>
      <c r="F20" s="59"/>
      <c r="G20" s="471"/>
      <c r="H20" s="471"/>
      <c r="I20" s="175"/>
      <c r="J20" s="175"/>
      <c r="K20" s="175"/>
    </row>
    <row r="21" spans="1:21" ht="15.75" customHeight="1">
      <c r="A21" s="126"/>
      <c r="B21" s="436" t="s">
        <v>367</v>
      </c>
      <c r="C21" s="437"/>
      <c r="D21" s="438"/>
      <c r="E21" s="136" t="s">
        <v>375</v>
      </c>
      <c r="F21" s="59"/>
      <c r="G21" s="439"/>
      <c r="H21" s="439"/>
      <c r="I21" s="173"/>
      <c r="J21" s="173"/>
      <c r="K21" s="173"/>
    </row>
    <row r="22" spans="1:21" s="65" customFormat="1" ht="17.25" customHeight="1">
      <c r="A22" s="126"/>
      <c r="B22" s="440" t="s">
        <v>357</v>
      </c>
      <c r="C22" s="441"/>
      <c r="D22" s="131" t="s">
        <v>359</v>
      </c>
      <c r="E22" s="131" t="s">
        <v>374</v>
      </c>
      <c r="F22" s="60"/>
      <c r="G22" s="442"/>
      <c r="H22" s="442"/>
      <c r="I22" s="132"/>
      <c r="J22" s="132"/>
      <c r="K22" s="132"/>
      <c r="L22" s="61"/>
      <c r="M22" s="61"/>
    </row>
    <row r="23" spans="1:21" s="65" customFormat="1" ht="18.75" customHeight="1">
      <c r="A23" s="129"/>
      <c r="B23" s="440" t="s">
        <v>358</v>
      </c>
      <c r="C23" s="441"/>
      <c r="D23" s="131" t="s">
        <v>359</v>
      </c>
      <c r="E23" s="131" t="s">
        <v>374</v>
      </c>
      <c r="G23" s="433"/>
      <c r="H23" s="433"/>
      <c r="I23" s="433"/>
      <c r="J23" s="433"/>
      <c r="K23" s="433"/>
    </row>
    <row r="24" spans="1:21" s="65" customFormat="1" ht="20.100000000000001" customHeight="1">
      <c r="A24" s="129"/>
      <c r="M24" s="134" t="s">
        <v>364</v>
      </c>
    </row>
    <row r="25" spans="1:21" s="65" customFormat="1" ht="20.100000000000001" customHeight="1">
      <c r="A25" s="129"/>
      <c r="F25" s="132"/>
      <c r="L25" s="61"/>
      <c r="M25" s="66"/>
      <c r="N25" s="61"/>
      <c r="O25" s="66"/>
      <c r="P25" s="59"/>
      <c r="Q25" s="59"/>
      <c r="R25" s="59"/>
      <c r="S25" s="59"/>
      <c r="T25" s="59"/>
      <c r="U25" s="59"/>
    </row>
    <row r="26" spans="1:21" s="65" customFormat="1" ht="17.25" customHeight="1">
      <c r="A26" s="129"/>
      <c r="F26" s="132"/>
      <c r="K26" s="61"/>
      <c r="L26" s="61"/>
      <c r="M26" s="66"/>
      <c r="N26" s="61"/>
      <c r="O26" s="66"/>
      <c r="P26" s="59"/>
      <c r="Q26" s="59"/>
      <c r="R26" s="59"/>
      <c r="S26" s="59"/>
      <c r="T26" s="59"/>
    </row>
    <row r="27" spans="1:21" ht="21.75" customHeight="1">
      <c r="A27" s="129"/>
      <c r="B27" s="65"/>
      <c r="C27" s="65"/>
      <c r="D27" s="65"/>
      <c r="E27" s="65"/>
      <c r="F27" s="132"/>
      <c r="G27" s="61"/>
      <c r="H27" s="65"/>
      <c r="I27" s="65"/>
      <c r="J27" s="65"/>
    </row>
    <row r="28" spans="1:21">
      <c r="A28" s="126"/>
      <c r="E28" s="59"/>
    </row>
    <row r="29" spans="1:21">
      <c r="A29" s="126"/>
    </row>
    <row r="30" spans="1:21">
      <c r="A30" s="126"/>
    </row>
    <row r="31" spans="1:21">
      <c r="A31" s="126"/>
      <c r="E31" s="60" t="s">
        <v>309</v>
      </c>
    </row>
    <row r="32" spans="1:21">
      <c r="A32" s="126"/>
    </row>
  </sheetData>
  <sheetProtection algorithmName="SHA-512" hashValue="5F/y4FRx3iGhwCVHqcY4qj+s3pQOXZADOeVyuBbXG1zJUU2H7Cq2mhcXiTH9njHeh1gOf//9QW7GMDmC8ZEZtQ==" saltValue="6mcefCCiSwSusGcMIeY4TA==" spinCount="100000" sheet="1" objects="1" scenarios="1"/>
  <mergeCells count="40">
    <mergeCell ref="B3:C3"/>
    <mergeCell ref="D3:F3"/>
    <mergeCell ref="E6:F6"/>
    <mergeCell ref="E5:G5"/>
    <mergeCell ref="H5:L6"/>
    <mergeCell ref="B1:T2"/>
    <mergeCell ref="E12:F12"/>
    <mergeCell ref="I12:J12"/>
    <mergeCell ref="E13:F13"/>
    <mergeCell ref="I13:J13"/>
    <mergeCell ref="B7:D12"/>
    <mergeCell ref="E7:F7"/>
    <mergeCell ref="I7:J7"/>
    <mergeCell ref="E8:F8"/>
    <mergeCell ref="I8:J8"/>
    <mergeCell ref="E9:F9"/>
    <mergeCell ref="I9:J9"/>
    <mergeCell ref="E10:F10"/>
    <mergeCell ref="I10:J10"/>
    <mergeCell ref="E11:F11"/>
    <mergeCell ref="I11:J11"/>
    <mergeCell ref="B14:D15"/>
    <mergeCell ref="E14:F14"/>
    <mergeCell ref="I14:J14"/>
    <mergeCell ref="E15:F15"/>
    <mergeCell ref="I15:J15"/>
    <mergeCell ref="G7:G15"/>
    <mergeCell ref="B17:C17"/>
    <mergeCell ref="D17:E17"/>
    <mergeCell ref="B18:C18"/>
    <mergeCell ref="D18:E18"/>
    <mergeCell ref="B19:C19"/>
    <mergeCell ref="D19:E19"/>
    <mergeCell ref="B23:C23"/>
    <mergeCell ref="G23:K23"/>
    <mergeCell ref="G20:H20"/>
    <mergeCell ref="B21:D21"/>
    <mergeCell ref="G21:H21"/>
    <mergeCell ref="B22:C22"/>
    <mergeCell ref="G22:H22"/>
  </mergeCells>
  <conditionalFormatting sqref="H11:H15 E7:J7 I11:J11 E8:F15 H8:J8">
    <cfRule type="duplicateValues" dxfId="89" priority="3"/>
  </conditionalFormatting>
  <conditionalFormatting sqref="H11:H15 C13 E7:G7 H7:J8 I11:J11 E8:F15">
    <cfRule type="duplicateValues" dxfId="88" priority="2"/>
  </conditionalFormatting>
  <conditionalFormatting sqref="K7:L7">
    <cfRule type="cellIs" dxfId="87" priority="1" operator="equal">
      <formula>$C$13</formula>
    </cfRule>
  </conditionalFormatting>
  <pageMargins left="0.24" right="0.26" top="0.78740157480314965" bottom="0.78740157480314965" header="0.31496062992125984" footer="0.31496062992125984"/>
  <pageSetup paperSize="9" scale="85" orientation="portrait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P100692_Botão1_Clique">
                <anchor moveWithCells="1" sizeWithCells="1">
                  <from>
                    <xdr:col>16</xdr:col>
                    <xdr:colOff>441960</xdr:colOff>
                    <xdr:row>0</xdr:row>
                    <xdr:rowOff>60960</xdr:rowOff>
                  </from>
                  <to>
                    <xdr:col>17</xdr:col>
                    <xdr:colOff>449580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21">
    <tabColor theme="9"/>
  </sheetPr>
  <dimension ref="A1:S33"/>
  <sheetViews>
    <sheetView zoomScaleNormal="100" workbookViewId="0">
      <selection activeCell="E7" sqref="E7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2.33203125" style="60" customWidth="1"/>
    <col min="6" max="6" width="15.5546875" style="60" bestFit="1" customWidth="1"/>
    <col min="7" max="7" width="11" style="59" customWidth="1"/>
    <col min="8" max="8" width="8.6640625" style="59" customWidth="1"/>
    <col min="9" max="9" width="10.6640625" style="60" customWidth="1"/>
    <col min="10" max="10" width="8.6640625" style="60" customWidth="1"/>
    <col min="11" max="11" width="6.6640625" style="60" customWidth="1"/>
    <col min="12" max="13" width="9.109375" style="60"/>
    <col min="14" max="14" width="9.109375" style="59"/>
    <col min="15" max="15" width="10" style="59" customWidth="1"/>
    <col min="16" max="16384" width="9.109375" style="59"/>
  </cols>
  <sheetData>
    <row r="1" spans="1:19" ht="19.5" customHeight="1">
      <c r="A1" s="125"/>
      <c r="B1" s="432" t="s">
        <v>373</v>
      </c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2"/>
      <c r="Q1" s="432"/>
      <c r="R1" s="432"/>
      <c r="S1" s="432"/>
    </row>
    <row r="2" spans="1:19" ht="16.5" customHeight="1">
      <c r="A2" s="126"/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432"/>
      <c r="R2" s="432"/>
      <c r="S2" s="432"/>
    </row>
    <row r="3" spans="1:19" ht="16.5" customHeight="1">
      <c r="A3" s="126"/>
      <c r="B3" s="462" t="s">
        <v>297</v>
      </c>
      <c r="C3" s="462"/>
      <c r="D3" s="434" t="s">
        <v>312</v>
      </c>
      <c r="E3" s="434"/>
      <c r="F3" s="67"/>
      <c r="G3" s="67"/>
      <c r="H3" s="67"/>
      <c r="I3" s="67"/>
    </row>
    <row r="4" spans="1:19" ht="16.5" customHeight="1">
      <c r="A4" s="179"/>
      <c r="B4" s="179"/>
      <c r="C4" s="179"/>
      <c r="D4" s="179"/>
      <c r="E4" s="179"/>
      <c r="F4" s="67"/>
      <c r="G4" s="67"/>
      <c r="H4" s="67"/>
      <c r="I4" s="67"/>
    </row>
    <row r="5" spans="1:19" ht="16.5" customHeight="1">
      <c r="A5" s="126"/>
      <c r="E5" s="469" t="s">
        <v>414</v>
      </c>
      <c r="F5" s="470"/>
      <c r="G5" s="467" t="s">
        <v>423</v>
      </c>
      <c r="H5" s="468"/>
      <c r="I5" s="468"/>
      <c r="J5" s="468"/>
    </row>
    <row r="6" spans="1:19" ht="13.5" customHeight="1">
      <c r="A6" s="126"/>
      <c r="E6" s="187" t="s">
        <v>411</v>
      </c>
      <c r="F6" s="187" t="s">
        <v>358</v>
      </c>
      <c r="G6" s="468"/>
      <c r="H6" s="468"/>
      <c r="I6" s="468"/>
      <c r="J6" s="468"/>
      <c r="N6" s="60"/>
    </row>
    <row r="7" spans="1:19" ht="15" customHeight="1">
      <c r="A7" s="126"/>
      <c r="B7" s="459" t="s">
        <v>355</v>
      </c>
      <c r="C7" s="460"/>
      <c r="D7" s="461"/>
      <c r="E7" s="186">
        <v>1453150</v>
      </c>
      <c r="F7" s="188" t="s">
        <v>444</v>
      </c>
      <c r="G7" s="189">
        <v>7505535</v>
      </c>
      <c r="H7" s="138">
        <v>6529928</v>
      </c>
      <c r="I7" s="138">
        <v>7505557</v>
      </c>
      <c r="J7" s="180">
        <v>1453171</v>
      </c>
      <c r="N7" s="60"/>
    </row>
    <row r="8" spans="1:19">
      <c r="A8" s="126"/>
      <c r="B8" s="453"/>
      <c r="C8" s="454"/>
      <c r="D8" s="455"/>
      <c r="E8" s="169"/>
      <c r="F8" s="169"/>
      <c r="G8" s="62"/>
      <c r="H8" s="62"/>
      <c r="I8" s="62"/>
      <c r="J8" s="62"/>
      <c r="K8" s="59"/>
      <c r="N8" s="60"/>
    </row>
    <row r="9" spans="1:19">
      <c r="A9" s="126"/>
      <c r="B9" s="453"/>
      <c r="C9" s="454"/>
      <c r="D9" s="455"/>
      <c r="E9" s="169"/>
      <c r="F9" s="169"/>
      <c r="G9" s="62"/>
      <c r="H9" s="62"/>
      <c r="I9" s="62"/>
      <c r="J9" s="62"/>
      <c r="N9" s="60"/>
    </row>
    <row r="10" spans="1:19">
      <c r="A10" s="126"/>
      <c r="B10" s="453"/>
      <c r="C10" s="454"/>
      <c r="D10" s="455"/>
      <c r="E10" s="169"/>
      <c r="F10" s="169"/>
      <c r="G10" s="62"/>
      <c r="H10" s="62"/>
      <c r="I10" s="62"/>
      <c r="J10" s="62"/>
      <c r="N10" s="60"/>
    </row>
    <row r="11" spans="1:19">
      <c r="A11" s="126"/>
      <c r="B11" s="453"/>
      <c r="C11" s="454"/>
      <c r="D11" s="455"/>
      <c r="E11" s="169"/>
      <c r="F11" s="169"/>
      <c r="G11" s="62"/>
      <c r="H11" s="62"/>
      <c r="I11" s="62"/>
      <c r="J11" s="62"/>
      <c r="N11" s="60"/>
    </row>
    <row r="12" spans="1:19">
      <c r="A12" s="126"/>
      <c r="B12" s="453"/>
      <c r="C12" s="454"/>
      <c r="D12" s="455"/>
      <c r="E12" s="169"/>
      <c r="F12" s="169"/>
      <c r="G12" s="62"/>
      <c r="H12" s="62"/>
      <c r="I12" s="62"/>
      <c r="J12" s="62"/>
      <c r="N12" s="60"/>
    </row>
    <row r="13" spans="1:19">
      <c r="A13" s="126"/>
      <c r="B13" s="141"/>
      <c r="C13" s="219"/>
      <c r="D13" s="142"/>
      <c r="E13" s="169"/>
      <c r="F13" s="169"/>
      <c r="G13" s="62"/>
      <c r="H13" s="62"/>
      <c r="I13" s="62"/>
      <c r="J13" s="62"/>
      <c r="N13" s="60"/>
    </row>
    <row r="14" spans="1:19">
      <c r="A14" s="126"/>
      <c r="B14" s="453"/>
      <c r="C14" s="454"/>
      <c r="D14" s="455"/>
      <c r="E14" s="169"/>
      <c r="F14" s="169"/>
      <c r="G14" s="62"/>
      <c r="H14" s="62"/>
      <c r="I14" s="62"/>
      <c r="J14" s="62"/>
      <c r="N14" s="60"/>
    </row>
    <row r="15" spans="1:19">
      <c r="A15" s="126"/>
      <c r="B15" s="456"/>
      <c r="C15" s="457"/>
      <c r="D15" s="458"/>
      <c r="E15" s="169"/>
      <c r="F15" s="169"/>
      <c r="G15" s="62"/>
      <c r="H15" s="62"/>
      <c r="I15" s="62"/>
      <c r="J15" s="62"/>
      <c r="N15" s="60"/>
    </row>
    <row r="16" spans="1:19" ht="18.75" customHeight="1">
      <c r="A16" s="126"/>
      <c r="F16" s="59"/>
    </row>
    <row r="17" spans="1:19">
      <c r="A17" s="126"/>
      <c r="B17" s="443" t="s">
        <v>366</v>
      </c>
      <c r="C17" s="443"/>
      <c r="D17" s="447" t="s">
        <v>412</v>
      </c>
      <c r="E17" s="447"/>
      <c r="G17" s="128"/>
      <c r="H17" s="128"/>
    </row>
    <row r="18" spans="1:19">
      <c r="A18" s="126"/>
      <c r="B18" s="443" t="s">
        <v>356</v>
      </c>
      <c r="C18" s="443"/>
      <c r="D18" s="444" t="s">
        <v>70</v>
      </c>
      <c r="E18" s="444"/>
      <c r="F18" s="127"/>
      <c r="G18" s="128"/>
      <c r="H18" s="128"/>
    </row>
    <row r="19" spans="1:19" ht="15" customHeight="1">
      <c r="A19" s="126"/>
      <c r="B19" s="445" t="s">
        <v>378</v>
      </c>
      <c r="C19" s="446"/>
      <c r="D19" s="444" t="s">
        <v>313</v>
      </c>
      <c r="E19" s="444"/>
      <c r="F19" s="127"/>
      <c r="G19" s="128"/>
      <c r="H19" s="128"/>
    </row>
    <row r="20" spans="1:19">
      <c r="A20" s="126"/>
      <c r="F20" s="471"/>
      <c r="G20" s="471"/>
      <c r="H20" s="175"/>
      <c r="I20" s="175"/>
    </row>
    <row r="21" spans="1:19">
      <c r="A21" s="126"/>
      <c r="B21" s="436" t="s">
        <v>367</v>
      </c>
      <c r="C21" s="437"/>
      <c r="D21" s="438"/>
      <c r="E21" s="136" t="s">
        <v>375</v>
      </c>
      <c r="F21" s="439"/>
      <c r="G21" s="439"/>
      <c r="H21" s="173"/>
      <c r="I21" s="173"/>
    </row>
    <row r="22" spans="1:19" s="65" customFormat="1" ht="15.75" customHeight="1">
      <c r="A22" s="126"/>
      <c r="B22" s="440" t="s">
        <v>357</v>
      </c>
      <c r="C22" s="441"/>
      <c r="D22" s="131" t="s">
        <v>359</v>
      </c>
      <c r="E22" s="131" t="s">
        <v>374</v>
      </c>
      <c r="F22" s="442"/>
      <c r="G22" s="442"/>
      <c r="H22" s="132"/>
      <c r="I22" s="132"/>
      <c r="J22" s="61"/>
      <c r="K22" s="61"/>
    </row>
    <row r="23" spans="1:19" s="65" customFormat="1" ht="17.25" customHeight="1">
      <c r="A23" s="129"/>
      <c r="B23" s="440" t="s">
        <v>358</v>
      </c>
      <c r="C23" s="441"/>
      <c r="D23" s="131" t="s">
        <v>359</v>
      </c>
      <c r="E23" s="131" t="s">
        <v>374</v>
      </c>
      <c r="F23" s="433"/>
      <c r="G23" s="433"/>
      <c r="H23" s="433"/>
      <c r="I23" s="433"/>
    </row>
    <row r="24" spans="1:19" s="65" customFormat="1" ht="20.100000000000001" customHeight="1">
      <c r="A24" s="129"/>
      <c r="J24" s="134"/>
    </row>
    <row r="25" spans="1:19" s="65" customFormat="1" ht="20.100000000000001" customHeight="1">
      <c r="A25" s="129"/>
      <c r="J25" s="61"/>
      <c r="K25" s="66"/>
      <c r="L25" s="61"/>
      <c r="M25" s="66"/>
      <c r="N25" s="59"/>
      <c r="O25" s="59"/>
      <c r="P25" s="59"/>
      <c r="Q25" s="59"/>
      <c r="R25" s="59"/>
      <c r="S25" s="59"/>
    </row>
    <row r="26" spans="1:19" s="65" customFormat="1" ht="17.25" customHeight="1">
      <c r="A26" s="129"/>
      <c r="I26" s="61"/>
      <c r="J26" s="61"/>
      <c r="K26" s="66"/>
      <c r="L26" s="61"/>
      <c r="M26" s="66"/>
      <c r="N26" s="59"/>
      <c r="O26" s="59"/>
      <c r="P26" s="59"/>
      <c r="Q26" s="59"/>
      <c r="R26" s="59"/>
    </row>
    <row r="27" spans="1:19" s="60" customFormat="1" ht="21.75" customHeight="1">
      <c r="A27" s="129"/>
      <c r="B27" s="65"/>
      <c r="C27" s="65"/>
      <c r="D27" s="65"/>
      <c r="E27" s="65"/>
      <c r="F27" s="61"/>
      <c r="G27" s="65"/>
      <c r="H27" s="65"/>
      <c r="N27" s="59"/>
      <c r="O27" s="59"/>
      <c r="P27" s="59"/>
      <c r="Q27" s="59"/>
      <c r="R27" s="59"/>
      <c r="S27" s="59"/>
    </row>
    <row r="28" spans="1:19" s="60" customFormat="1">
      <c r="A28" s="126"/>
      <c r="B28" s="59"/>
      <c r="C28" s="59"/>
      <c r="D28" s="59"/>
      <c r="E28" s="59"/>
      <c r="G28" s="59"/>
      <c r="H28" s="59"/>
      <c r="N28" s="59"/>
      <c r="O28" s="59"/>
      <c r="P28" s="59"/>
      <c r="Q28" s="59"/>
      <c r="R28" s="59"/>
      <c r="S28" s="59"/>
    </row>
    <row r="29" spans="1:19" s="60" customFormat="1">
      <c r="A29" s="126"/>
      <c r="B29" s="59"/>
      <c r="C29" s="59"/>
      <c r="D29" s="59"/>
      <c r="G29" s="59"/>
      <c r="H29" s="59"/>
      <c r="N29" s="59"/>
      <c r="O29" s="59"/>
      <c r="P29" s="59"/>
      <c r="Q29" s="59"/>
      <c r="R29" s="59"/>
      <c r="S29" s="59"/>
    </row>
    <row r="30" spans="1:19" s="60" customFormat="1">
      <c r="A30" s="126"/>
      <c r="B30" s="59"/>
      <c r="C30" s="59"/>
      <c r="D30" s="59"/>
      <c r="G30" s="59"/>
      <c r="H30" s="59"/>
      <c r="N30" s="59"/>
      <c r="O30" s="59"/>
      <c r="P30" s="59"/>
      <c r="Q30" s="59"/>
      <c r="R30" s="59"/>
      <c r="S30" s="59"/>
    </row>
    <row r="31" spans="1:19" s="60" customFormat="1">
      <c r="A31" s="126"/>
      <c r="B31" s="59"/>
      <c r="C31" s="59"/>
      <c r="D31" s="59"/>
      <c r="E31" s="60" t="s">
        <v>309</v>
      </c>
      <c r="G31" s="59"/>
      <c r="H31" s="59"/>
      <c r="N31" s="59"/>
      <c r="O31" s="59"/>
      <c r="P31" s="59"/>
      <c r="Q31" s="59"/>
      <c r="R31" s="59"/>
      <c r="S31" s="59"/>
    </row>
    <row r="32" spans="1:19" s="60" customFormat="1">
      <c r="A32" s="126"/>
      <c r="B32" s="59"/>
      <c r="C32" s="59"/>
      <c r="D32" s="59"/>
      <c r="G32" s="59"/>
      <c r="H32" s="59"/>
      <c r="N32" s="59"/>
      <c r="O32" s="59"/>
      <c r="P32" s="59"/>
      <c r="Q32" s="59"/>
      <c r="R32" s="59"/>
      <c r="S32" s="59"/>
    </row>
    <row r="33" spans="1:19" s="60" customFormat="1">
      <c r="A33" s="59"/>
      <c r="B33" s="59"/>
      <c r="C33" s="59"/>
      <c r="D33" s="59"/>
      <c r="G33" s="59"/>
      <c r="H33" s="59"/>
      <c r="N33" s="59"/>
      <c r="O33" s="59"/>
      <c r="P33" s="59"/>
      <c r="Q33" s="59"/>
      <c r="R33" s="59"/>
      <c r="S33" s="59"/>
    </row>
  </sheetData>
  <sheetProtection algorithmName="SHA-512" hashValue="n6XmbgPr1f1HHGeZMe++DjmU77XYqZlh/s+djCzJ2m9J/OSSKCoUEhZyP2ppcyK+1xbVGREweRn+ix/5OQ2uqA==" saltValue="9vBnmgNwMRa9xbipd6ryow==" spinCount="100000" sheet="1" objects="1" scenarios="1"/>
  <mergeCells count="20">
    <mergeCell ref="B23:C23"/>
    <mergeCell ref="F23:I23"/>
    <mergeCell ref="F20:G20"/>
    <mergeCell ref="B21:D21"/>
    <mergeCell ref="F21:G21"/>
    <mergeCell ref="B22:C22"/>
    <mergeCell ref="F22:G22"/>
    <mergeCell ref="B17:C17"/>
    <mergeCell ref="D17:E17"/>
    <mergeCell ref="B18:C18"/>
    <mergeCell ref="D18:E18"/>
    <mergeCell ref="B19:C19"/>
    <mergeCell ref="D19:E19"/>
    <mergeCell ref="G5:J6"/>
    <mergeCell ref="B1:S2"/>
    <mergeCell ref="B14:D15"/>
    <mergeCell ref="B7:D12"/>
    <mergeCell ref="B3:C3"/>
    <mergeCell ref="D3:E3"/>
    <mergeCell ref="E5:F5"/>
  </mergeCells>
  <conditionalFormatting sqref="G11:G15 G7:H8 E7:F15 H11:I11">
    <cfRule type="duplicateValues" dxfId="86" priority="59"/>
  </conditionalFormatting>
  <conditionalFormatting sqref="G11:G15 C13 E7:F15 G7:H8 H11:I11">
    <cfRule type="duplicateValues" dxfId="85" priority="64"/>
  </conditionalFormatting>
  <conditionalFormatting sqref="E7:E15 G7:J15">
    <cfRule type="duplicateValues" dxfId="84" priority="3"/>
  </conditionalFormatting>
  <conditionalFormatting sqref="G7:J15 E7:E15">
    <cfRule type="duplicateValues" dxfId="83" priority="2"/>
  </conditionalFormatting>
  <conditionalFormatting sqref="I7:J7 C13">
    <cfRule type="duplicateValues" dxfId="82" priority="1"/>
  </conditionalFormatting>
  <pageMargins left="0.23622047244094491" right="0.27559055118110237" top="0.78740157480314965" bottom="0.78740157480314965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MP100692_Botão1_Clique">
                <anchor moveWithCells="1" sizeWithCells="1">
                  <from>
                    <xdr:col>15</xdr:col>
                    <xdr:colOff>304800</xdr:colOff>
                    <xdr:row>0</xdr:row>
                    <xdr:rowOff>68580</xdr:rowOff>
                  </from>
                  <to>
                    <xdr:col>16</xdr:col>
                    <xdr:colOff>373380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8">
    <tabColor theme="9"/>
  </sheetPr>
  <dimension ref="A1:AA46"/>
  <sheetViews>
    <sheetView topLeftCell="A26" zoomScale="90" zoomScaleNormal="90" workbookViewId="0">
      <selection activeCell="E29" sqref="E29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0.33203125" style="60" customWidth="1"/>
    <col min="6" max="6" width="4" style="60" customWidth="1"/>
    <col min="7" max="7" width="11.6640625" style="60" customWidth="1"/>
    <col min="8" max="8" width="10.88671875" style="59" customWidth="1"/>
    <col min="9" max="9" width="11.109375" style="59" customWidth="1"/>
    <col min="10" max="10" width="4.44140625" style="59" customWidth="1"/>
    <col min="11" max="11" width="4.109375" style="59" customWidth="1"/>
    <col min="12" max="12" width="2.5546875" style="60" customWidth="1"/>
    <col min="13" max="13" width="9.109375" style="60" customWidth="1"/>
    <col min="14" max="14" width="5" style="60" customWidth="1"/>
    <col min="15" max="15" width="13.109375" style="60" bestFit="1" customWidth="1"/>
    <col min="16" max="16" width="9.109375" style="60"/>
    <col min="17" max="17" width="9.109375" style="59"/>
    <col min="18" max="18" width="10" style="59" customWidth="1"/>
    <col min="19" max="24" width="9.109375" style="59"/>
    <col min="25" max="25" width="14" style="59" hidden="1" customWidth="1"/>
    <col min="26" max="26" width="12.33203125" style="59" hidden="1" customWidth="1"/>
    <col min="27" max="16384" width="9.109375" style="59"/>
  </cols>
  <sheetData>
    <row r="1" spans="1:21" ht="19.5" customHeight="1">
      <c r="A1" s="125"/>
      <c r="B1" s="509" t="s">
        <v>373</v>
      </c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  <c r="T1" s="510"/>
      <c r="U1" s="511"/>
    </row>
    <row r="2" spans="1:21" ht="16.5" customHeight="1">
      <c r="A2" s="126"/>
      <c r="B2" s="512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/>
      <c r="U2" s="514"/>
    </row>
    <row r="3" spans="1:21" ht="16.5" customHeight="1">
      <c r="A3" s="126"/>
      <c r="B3" s="462" t="s">
        <v>297</v>
      </c>
      <c r="C3" s="462"/>
      <c r="D3" s="434" t="s">
        <v>314</v>
      </c>
      <c r="E3" s="434"/>
      <c r="F3" s="434"/>
      <c r="I3" s="67"/>
      <c r="J3" s="67"/>
    </row>
    <row r="4" spans="1:21" ht="6.75" customHeight="1">
      <c r="A4" s="126"/>
    </row>
    <row r="5" spans="1:21" ht="16.5" customHeight="1">
      <c r="A5" s="126"/>
      <c r="E5" s="468" t="s">
        <v>414</v>
      </c>
      <c r="F5" s="468"/>
      <c r="G5" s="468"/>
      <c r="H5" s="468"/>
      <c r="I5" s="467" t="s">
        <v>415</v>
      </c>
      <c r="J5" s="467"/>
      <c r="K5" s="467"/>
      <c r="L5" s="467"/>
      <c r="M5" s="467"/>
      <c r="Q5" s="60"/>
    </row>
    <row r="6" spans="1:21" ht="15" customHeight="1">
      <c r="A6" s="126"/>
      <c r="E6" s="508" t="s">
        <v>357</v>
      </c>
      <c r="F6" s="508"/>
      <c r="G6" s="181" t="s">
        <v>358</v>
      </c>
      <c r="H6" s="181" t="s">
        <v>368</v>
      </c>
      <c r="I6" s="467"/>
      <c r="J6" s="467"/>
      <c r="K6" s="467"/>
      <c r="L6" s="467"/>
      <c r="M6" s="467"/>
      <c r="Q6" s="60"/>
    </row>
    <row r="7" spans="1:21" ht="24" customHeight="1">
      <c r="A7" s="126"/>
      <c r="B7" s="459" t="s">
        <v>355</v>
      </c>
      <c r="C7" s="460"/>
      <c r="D7" s="461"/>
      <c r="E7" s="515">
        <v>1832879</v>
      </c>
      <c r="F7" s="516"/>
      <c r="G7" s="274" t="s">
        <v>550</v>
      </c>
      <c r="H7" s="65" t="s">
        <v>428</v>
      </c>
      <c r="I7" s="275">
        <v>2314488</v>
      </c>
      <c r="J7" s="517">
        <v>4160064</v>
      </c>
      <c r="K7" s="517"/>
      <c r="L7" s="517"/>
      <c r="M7" s="275"/>
      <c r="N7" s="59"/>
      <c r="Q7" s="60"/>
    </row>
    <row r="8" spans="1:21" ht="25.5" customHeight="1">
      <c r="A8" s="126"/>
      <c r="B8" s="453"/>
      <c r="C8" s="454"/>
      <c r="D8" s="455"/>
      <c r="E8" s="518">
        <v>9653962</v>
      </c>
      <c r="F8" s="519"/>
      <c r="G8" s="276" t="s">
        <v>550</v>
      </c>
      <c r="H8" s="277" t="s">
        <v>428</v>
      </c>
      <c r="I8" s="189">
        <v>2389734</v>
      </c>
      <c r="J8" s="507"/>
      <c r="K8" s="507"/>
      <c r="L8" s="507"/>
      <c r="M8" s="189" t="s">
        <v>278</v>
      </c>
      <c r="Q8" s="60"/>
    </row>
    <row r="9" spans="1:21" ht="15" customHeight="1">
      <c r="A9" s="126"/>
      <c r="B9" s="453"/>
      <c r="C9" s="454"/>
      <c r="D9" s="455"/>
      <c r="E9" s="493">
        <v>7066163</v>
      </c>
      <c r="F9" s="482"/>
      <c r="G9" s="504" t="s">
        <v>451</v>
      </c>
      <c r="H9" s="504" t="s">
        <v>452</v>
      </c>
      <c r="I9" s="150" t="s">
        <v>278</v>
      </c>
      <c r="J9" s="478" t="s">
        <v>278</v>
      </c>
      <c r="K9" s="478"/>
      <c r="L9" s="478"/>
      <c r="M9" s="150" t="s">
        <v>278</v>
      </c>
      <c r="Q9" s="60"/>
    </row>
    <row r="10" spans="1:21">
      <c r="A10" s="126"/>
      <c r="B10" s="453"/>
      <c r="C10" s="454"/>
      <c r="D10" s="455"/>
      <c r="E10" s="493">
        <v>402576</v>
      </c>
      <c r="F10" s="482"/>
      <c r="G10" s="504"/>
      <c r="H10" s="504"/>
      <c r="I10" s="62" t="s">
        <v>278</v>
      </c>
      <c r="J10" s="477" t="s">
        <v>278</v>
      </c>
      <c r="K10" s="477"/>
      <c r="L10" s="477"/>
      <c r="M10" s="62" t="s">
        <v>278</v>
      </c>
      <c r="Q10" s="60"/>
    </row>
    <row r="11" spans="1:21">
      <c r="A11" s="126"/>
      <c r="B11" s="456"/>
      <c r="C11" s="457"/>
      <c r="D11" s="458"/>
      <c r="E11" s="493">
        <v>1096172</v>
      </c>
      <c r="F11" s="482"/>
      <c r="G11" s="504"/>
      <c r="H11" s="504"/>
      <c r="I11" s="62" t="s">
        <v>278</v>
      </c>
      <c r="J11" s="477" t="s">
        <v>278</v>
      </c>
      <c r="K11" s="477"/>
      <c r="L11" s="477"/>
      <c r="M11" s="62" t="s">
        <v>278</v>
      </c>
      <c r="Q11" s="60"/>
    </row>
    <row r="12" spans="1:21">
      <c r="A12" s="126"/>
      <c r="B12" s="220"/>
      <c r="C12" s="221"/>
      <c r="D12" s="222"/>
      <c r="E12" s="493">
        <v>6582763</v>
      </c>
      <c r="F12" s="482"/>
      <c r="G12" s="504"/>
      <c r="H12" s="504"/>
      <c r="I12" s="62" t="s">
        <v>278</v>
      </c>
      <c r="J12" s="477" t="s">
        <v>278</v>
      </c>
      <c r="K12" s="477"/>
      <c r="L12" s="477"/>
      <c r="M12" s="62" t="s">
        <v>278</v>
      </c>
      <c r="Q12" s="60"/>
    </row>
    <row r="13" spans="1:21">
      <c r="A13" s="126"/>
      <c r="B13" s="141"/>
      <c r="C13" s="226"/>
      <c r="D13" s="142"/>
      <c r="E13" s="493">
        <v>5582266</v>
      </c>
      <c r="F13" s="482"/>
      <c r="G13" s="504"/>
      <c r="H13" s="504"/>
      <c r="I13" s="62" t="s">
        <v>278</v>
      </c>
      <c r="J13" s="477" t="s">
        <v>278</v>
      </c>
      <c r="K13" s="477"/>
      <c r="L13" s="477"/>
      <c r="M13" s="62" t="s">
        <v>278</v>
      </c>
      <c r="Q13" s="60"/>
    </row>
    <row r="14" spans="1:21">
      <c r="A14" s="126"/>
      <c r="B14" s="141"/>
      <c r="C14" s="226"/>
      <c r="D14" s="142"/>
      <c r="E14" s="493">
        <v>402243</v>
      </c>
      <c r="F14" s="482"/>
      <c r="G14" s="504"/>
      <c r="H14" s="504"/>
      <c r="I14" s="62" t="s">
        <v>278</v>
      </c>
      <c r="J14" s="477" t="s">
        <v>278</v>
      </c>
      <c r="K14" s="477"/>
      <c r="L14" s="477"/>
      <c r="M14" s="62" t="s">
        <v>278</v>
      </c>
      <c r="Q14" s="60"/>
    </row>
    <row r="15" spans="1:21" ht="18.75" customHeight="1">
      <c r="A15" s="126"/>
      <c r="B15" s="141"/>
      <c r="C15" s="226"/>
      <c r="D15" s="142"/>
      <c r="E15" s="493">
        <v>1097643</v>
      </c>
      <c r="F15" s="482"/>
      <c r="G15" s="504"/>
      <c r="H15" s="504"/>
      <c r="I15" s="62" t="s">
        <v>278</v>
      </c>
      <c r="J15" s="477" t="s">
        <v>278</v>
      </c>
      <c r="K15" s="477"/>
      <c r="L15" s="477"/>
      <c r="M15" s="62" t="s">
        <v>278</v>
      </c>
    </row>
    <row r="16" spans="1:21" ht="16.5" customHeight="1">
      <c r="A16" s="126"/>
      <c r="B16" s="141"/>
      <c r="C16" s="227">
        <v>1453317</v>
      </c>
      <c r="D16" s="228"/>
      <c r="E16" s="493">
        <v>91721</v>
      </c>
      <c r="F16" s="482"/>
      <c r="G16" s="504"/>
      <c r="H16" s="504"/>
      <c r="I16" s="62" t="s">
        <v>278</v>
      </c>
      <c r="J16" s="477" t="s">
        <v>278</v>
      </c>
      <c r="K16" s="477"/>
      <c r="L16" s="477"/>
      <c r="M16" s="62" t="s">
        <v>278</v>
      </c>
    </row>
    <row r="17" spans="1:27">
      <c r="A17" s="126"/>
      <c r="B17" s="141"/>
      <c r="C17" s="226"/>
      <c r="D17" s="142"/>
      <c r="E17" s="482">
        <v>1019849</v>
      </c>
      <c r="F17" s="483"/>
      <c r="G17" s="504"/>
      <c r="H17" s="504"/>
      <c r="I17" s="62">
        <v>1845418</v>
      </c>
      <c r="J17" s="477">
        <v>1717243</v>
      </c>
      <c r="K17" s="477"/>
      <c r="L17" s="477"/>
      <c r="M17" s="62">
        <v>1453317</v>
      </c>
    </row>
    <row r="18" spans="1:27" ht="15" customHeight="1">
      <c r="A18" s="126"/>
      <c r="B18" s="141"/>
      <c r="C18" s="226"/>
      <c r="D18" s="142"/>
      <c r="E18" s="482">
        <v>1363680</v>
      </c>
      <c r="F18" s="483"/>
      <c r="G18" s="504"/>
      <c r="H18" s="504"/>
      <c r="I18" s="62">
        <v>1453325</v>
      </c>
      <c r="J18" s="477" t="s">
        <v>278</v>
      </c>
      <c r="K18" s="477"/>
      <c r="L18" s="477"/>
      <c r="M18" s="62" t="s">
        <v>278</v>
      </c>
    </row>
    <row r="19" spans="1:27" ht="15" customHeight="1">
      <c r="A19" s="126"/>
      <c r="B19" s="141"/>
      <c r="C19" s="226"/>
      <c r="D19" s="142"/>
      <c r="E19" s="493">
        <v>2770266</v>
      </c>
      <c r="F19" s="482"/>
      <c r="G19" s="504"/>
      <c r="H19" s="504"/>
      <c r="I19" s="62"/>
      <c r="J19" s="523"/>
      <c r="K19" s="524"/>
      <c r="L19" s="502"/>
      <c r="M19" s="62"/>
    </row>
    <row r="20" spans="1:27" ht="16.5" customHeight="1">
      <c r="A20" s="126"/>
      <c r="B20" s="141"/>
      <c r="C20" s="226"/>
      <c r="D20" s="142"/>
      <c r="E20" s="482">
        <v>1452944</v>
      </c>
      <c r="F20" s="483"/>
      <c r="G20" s="504"/>
      <c r="H20" s="504"/>
      <c r="I20" s="62">
        <v>3844468</v>
      </c>
      <c r="J20" s="477" t="s">
        <v>278</v>
      </c>
      <c r="K20" s="477"/>
      <c r="L20" s="477"/>
      <c r="M20" s="62" t="s">
        <v>278</v>
      </c>
    </row>
    <row r="21" spans="1:27" ht="15" customHeight="1">
      <c r="A21" s="126"/>
      <c r="B21" s="141"/>
      <c r="C21" s="226"/>
      <c r="D21" s="142"/>
      <c r="E21" s="482">
        <v>1452784</v>
      </c>
      <c r="F21" s="483"/>
      <c r="G21" s="504"/>
      <c r="H21" s="504"/>
      <c r="I21" s="62">
        <v>4785449</v>
      </c>
      <c r="J21" s="477">
        <v>5861475</v>
      </c>
      <c r="K21" s="477"/>
      <c r="L21" s="477"/>
      <c r="M21" s="62" t="s">
        <v>278</v>
      </c>
    </row>
    <row r="22" spans="1:27" ht="18" customHeight="1">
      <c r="A22" s="126"/>
      <c r="B22" s="141"/>
      <c r="C22" s="226"/>
      <c r="D22" s="142"/>
      <c r="E22" s="482">
        <v>1453152</v>
      </c>
      <c r="F22" s="483"/>
      <c r="G22" s="504"/>
      <c r="H22" s="504"/>
      <c r="I22" s="62">
        <v>8095100</v>
      </c>
      <c r="J22" s="477" t="s">
        <v>278</v>
      </c>
      <c r="K22" s="477"/>
      <c r="L22" s="477"/>
      <c r="M22" s="62" t="s">
        <v>278</v>
      </c>
    </row>
    <row r="23" spans="1:27" s="65" customFormat="1" ht="15.75" customHeight="1">
      <c r="A23" s="126"/>
      <c r="B23" s="141"/>
      <c r="C23" s="226"/>
      <c r="D23" s="142"/>
      <c r="E23" s="482">
        <v>1453397</v>
      </c>
      <c r="F23" s="483"/>
      <c r="G23" s="504"/>
      <c r="H23" s="504"/>
      <c r="I23" s="62">
        <v>7494592</v>
      </c>
      <c r="J23" s="477" t="s">
        <v>278</v>
      </c>
      <c r="K23" s="477"/>
      <c r="L23" s="477"/>
      <c r="M23" s="62" t="s">
        <v>278</v>
      </c>
      <c r="N23" s="60"/>
    </row>
    <row r="24" spans="1:27" s="65" customFormat="1" ht="17.25" customHeight="1">
      <c r="A24" s="129"/>
      <c r="B24" s="141"/>
      <c r="C24" s="226"/>
      <c r="D24" s="142"/>
      <c r="E24" s="505">
        <v>645324</v>
      </c>
      <c r="F24" s="482"/>
      <c r="G24" s="504"/>
      <c r="H24" s="504"/>
      <c r="I24" s="62" t="s">
        <v>278</v>
      </c>
      <c r="J24" s="502" t="s">
        <v>278</v>
      </c>
      <c r="K24" s="477"/>
      <c r="L24" s="477"/>
      <c r="M24" s="62" t="s">
        <v>278</v>
      </c>
      <c r="N24" s="61"/>
    </row>
    <row r="25" spans="1:27" s="65" customFormat="1" ht="17.25" customHeight="1">
      <c r="A25" s="129"/>
      <c r="B25" s="141"/>
      <c r="C25" s="226"/>
      <c r="D25" s="226"/>
      <c r="E25" s="483">
        <v>1452750</v>
      </c>
      <c r="F25" s="483"/>
      <c r="G25" s="504"/>
      <c r="H25" s="504"/>
      <c r="I25" s="62">
        <v>5358508</v>
      </c>
      <c r="J25" s="502" t="s">
        <v>278</v>
      </c>
      <c r="K25" s="477"/>
      <c r="L25" s="477"/>
      <c r="M25" s="62" t="s">
        <v>278</v>
      </c>
      <c r="N25" s="61"/>
    </row>
    <row r="26" spans="1:27" s="65" customFormat="1" ht="17.25" customHeight="1">
      <c r="A26" s="129"/>
      <c r="B26" s="141"/>
      <c r="C26" s="226"/>
      <c r="D26" s="226"/>
      <c r="E26" s="483">
        <v>1397233</v>
      </c>
      <c r="F26" s="483"/>
      <c r="G26" s="504"/>
      <c r="H26" s="504"/>
      <c r="I26" s="62" t="s">
        <v>278</v>
      </c>
      <c r="J26" s="502" t="s">
        <v>278</v>
      </c>
      <c r="K26" s="477"/>
      <c r="L26" s="477"/>
      <c r="M26" s="62" t="s">
        <v>278</v>
      </c>
      <c r="N26" s="61"/>
    </row>
    <row r="27" spans="1:27" s="65" customFormat="1" ht="20.100000000000001" customHeight="1">
      <c r="A27" s="129"/>
      <c r="B27" s="224"/>
      <c r="C27" s="225"/>
      <c r="D27" s="225"/>
      <c r="E27" s="483">
        <v>1452832</v>
      </c>
      <c r="F27" s="483"/>
      <c r="G27" s="504"/>
      <c r="H27" s="504"/>
      <c r="I27" s="62">
        <v>2031511</v>
      </c>
      <c r="J27" s="502" t="s">
        <v>278</v>
      </c>
      <c r="K27" s="477"/>
      <c r="L27" s="477"/>
      <c r="M27" s="62" t="s">
        <v>278</v>
      </c>
    </row>
    <row r="28" spans="1:27" s="65" customFormat="1" ht="20.100000000000001" customHeight="1">
      <c r="A28" s="129"/>
      <c r="B28" s="503" t="s">
        <v>366</v>
      </c>
      <c r="C28" s="503"/>
      <c r="D28" s="278" t="s">
        <v>412</v>
      </c>
      <c r="F28" s="60"/>
      <c r="G28" s="127"/>
      <c r="H28" s="128"/>
      <c r="I28" s="128"/>
      <c r="J28" s="128"/>
      <c r="K28" s="59"/>
      <c r="L28" s="60"/>
      <c r="M28" s="60"/>
      <c r="Y28" s="260"/>
      <c r="Z28" s="263" t="s">
        <v>360</v>
      </c>
      <c r="AA28" s="260"/>
    </row>
    <row r="29" spans="1:27" s="65" customFormat="1" ht="15.75" customHeight="1">
      <c r="B29" s="443" t="s">
        <v>356</v>
      </c>
      <c r="C29" s="443"/>
      <c r="D29" s="131" t="s">
        <v>413</v>
      </c>
      <c r="F29" s="60"/>
      <c r="G29" s="127"/>
      <c r="H29" s="128"/>
      <c r="I29" s="128"/>
      <c r="J29" s="128"/>
      <c r="K29" s="59"/>
      <c r="L29" s="60"/>
      <c r="M29" s="60"/>
      <c r="O29" s="284" t="s">
        <v>360</v>
      </c>
      <c r="S29" s="59"/>
      <c r="T29" s="59"/>
      <c r="U29" s="59"/>
      <c r="V29" s="59"/>
      <c r="Y29" s="261" t="s">
        <v>555</v>
      </c>
      <c r="Z29" s="262" t="s">
        <v>551</v>
      </c>
      <c r="AA29" s="260"/>
    </row>
    <row r="30" spans="1:27" s="65" customFormat="1" ht="18" customHeight="1">
      <c r="B30" s="443" t="s">
        <v>365</v>
      </c>
      <c r="C30" s="443"/>
      <c r="D30" s="131" t="s">
        <v>316</v>
      </c>
      <c r="F30" s="60"/>
      <c r="G30" s="60"/>
      <c r="H30" s="59"/>
      <c r="I30" s="435"/>
      <c r="J30" s="435"/>
      <c r="K30" s="435"/>
      <c r="L30" s="435"/>
      <c r="M30" s="520" t="s">
        <v>555</v>
      </c>
      <c r="N30" s="521"/>
      <c r="O30" s="267" t="s">
        <v>551</v>
      </c>
      <c r="P30" s="66"/>
      <c r="Q30" s="59"/>
      <c r="R30" s="59"/>
      <c r="S30" s="59"/>
      <c r="T30" s="59"/>
      <c r="U30" s="59"/>
      <c r="V30" s="59"/>
      <c r="Y30" s="261" t="s">
        <v>469</v>
      </c>
      <c r="Z30" s="262" t="s">
        <v>552</v>
      </c>
      <c r="AA30" s="260"/>
    </row>
    <row r="31" spans="1:27" s="65" customFormat="1" ht="18" customHeight="1">
      <c r="B31" s="506"/>
      <c r="C31" s="506"/>
      <c r="D31" s="273"/>
      <c r="F31" s="59"/>
      <c r="G31" s="176"/>
      <c r="H31" s="176"/>
      <c r="I31" s="173"/>
      <c r="J31" s="471"/>
      <c r="K31" s="471"/>
      <c r="L31" s="173"/>
      <c r="M31" s="520" t="s">
        <v>469</v>
      </c>
      <c r="N31" s="521"/>
      <c r="O31" s="267" t="s">
        <v>552</v>
      </c>
      <c r="P31" s="66"/>
      <c r="Q31" s="59"/>
      <c r="R31" s="59"/>
      <c r="S31" s="59"/>
      <c r="T31" s="59"/>
      <c r="U31" s="59"/>
      <c r="V31" s="59"/>
      <c r="Y31" s="261" t="s">
        <v>556</v>
      </c>
      <c r="Z31" s="262" t="s">
        <v>553</v>
      </c>
      <c r="AA31" s="260"/>
    </row>
    <row r="32" spans="1:27" s="65" customFormat="1" ht="18" customHeight="1">
      <c r="B32" s="436" t="s">
        <v>367</v>
      </c>
      <c r="C32" s="437"/>
      <c r="D32" s="438"/>
      <c r="E32" s="136" t="s">
        <v>375</v>
      </c>
      <c r="F32" s="60"/>
      <c r="G32" s="177"/>
      <c r="H32" s="177"/>
      <c r="I32" s="132"/>
      <c r="J32" s="433"/>
      <c r="K32" s="433"/>
      <c r="L32" s="132"/>
      <c r="M32" s="520" t="s">
        <v>556</v>
      </c>
      <c r="N32" s="521"/>
      <c r="O32" s="267" t="s">
        <v>636</v>
      </c>
      <c r="P32" s="66"/>
      <c r="Q32" s="59"/>
      <c r="R32" s="59"/>
      <c r="S32" s="59"/>
      <c r="T32" s="59"/>
      <c r="U32" s="59"/>
      <c r="V32" s="59"/>
      <c r="Y32" s="261" t="s">
        <v>557</v>
      </c>
      <c r="Z32" s="262" t="s">
        <v>554</v>
      </c>
      <c r="AA32" s="260"/>
    </row>
    <row r="33" spans="1:21" s="65" customFormat="1" ht="18" customHeight="1">
      <c r="A33" s="129"/>
      <c r="B33" s="440" t="s">
        <v>357</v>
      </c>
      <c r="C33" s="441"/>
      <c r="D33" s="131" t="s">
        <v>359</v>
      </c>
      <c r="E33" s="131" t="s">
        <v>374</v>
      </c>
      <c r="G33" s="174"/>
      <c r="H33" s="174"/>
      <c r="I33" s="174"/>
      <c r="J33" s="174"/>
      <c r="K33" s="174"/>
      <c r="L33" s="174"/>
      <c r="M33" s="520" t="s">
        <v>557</v>
      </c>
      <c r="N33" s="522"/>
      <c r="O33" s="267" t="s">
        <v>623</v>
      </c>
      <c r="P33" s="66"/>
      <c r="Q33" s="59"/>
      <c r="R33" s="59"/>
      <c r="S33" s="59"/>
      <c r="T33" s="59"/>
      <c r="U33" s="59"/>
    </row>
    <row r="34" spans="1:21" ht="21.75" customHeight="1">
      <c r="A34" s="129"/>
      <c r="B34" s="440" t="s">
        <v>358</v>
      </c>
      <c r="C34" s="441"/>
      <c r="D34" s="131" t="s">
        <v>359</v>
      </c>
      <c r="E34" s="131" t="s">
        <v>374</v>
      </c>
      <c r="F34" s="65"/>
      <c r="G34" s="65"/>
      <c r="H34" s="65"/>
      <c r="I34" s="65"/>
      <c r="J34" s="65"/>
      <c r="K34" s="134" t="s">
        <v>364</v>
      </c>
      <c r="L34" s="65"/>
      <c r="M34" s="65"/>
      <c r="N34" s="66"/>
    </row>
    <row r="35" spans="1:21">
      <c r="A35" s="126"/>
      <c r="F35" s="65"/>
      <c r="G35" s="65"/>
      <c r="H35" s="65"/>
      <c r="I35" s="65"/>
      <c r="J35" s="65"/>
      <c r="K35" s="65"/>
      <c r="L35" s="65"/>
      <c r="M35" s="61"/>
    </row>
    <row r="36" spans="1:21">
      <c r="A36" s="126"/>
      <c r="F36" s="65"/>
      <c r="G36" s="65"/>
      <c r="H36" s="65"/>
      <c r="I36" s="65"/>
      <c r="J36" s="65"/>
      <c r="K36" s="65"/>
      <c r="L36" s="65"/>
      <c r="M36" s="66"/>
    </row>
    <row r="37" spans="1:21">
      <c r="A37" s="126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6"/>
    </row>
    <row r="38" spans="1:21">
      <c r="A38" s="126"/>
      <c r="F38" s="65"/>
      <c r="G38" s="65"/>
      <c r="H38" s="65"/>
      <c r="I38" s="65"/>
      <c r="J38" s="65"/>
      <c r="K38" s="65"/>
      <c r="L38" s="65"/>
      <c r="M38" s="66"/>
    </row>
    <row r="39" spans="1:21">
      <c r="A39" s="126"/>
      <c r="F39" s="433"/>
      <c r="G39" s="433"/>
      <c r="H39" s="65"/>
      <c r="I39" s="65"/>
      <c r="J39" s="65"/>
      <c r="K39" s="65"/>
      <c r="L39" s="65"/>
      <c r="M39" s="66"/>
    </row>
    <row r="40" spans="1:21">
      <c r="F40" s="132"/>
      <c r="G40" s="65"/>
      <c r="H40" s="65"/>
      <c r="I40" s="65"/>
      <c r="J40" s="65"/>
      <c r="K40" s="65"/>
      <c r="L40" s="65"/>
      <c r="M40" s="61"/>
    </row>
    <row r="41" spans="1:21">
      <c r="E41" s="65"/>
      <c r="F41" s="132"/>
      <c r="G41" s="65"/>
      <c r="H41" s="65"/>
      <c r="I41" s="65"/>
      <c r="J41" s="65"/>
      <c r="K41" s="65"/>
      <c r="L41" s="61"/>
      <c r="M41" s="61"/>
    </row>
    <row r="42" spans="1:21">
      <c r="E42" s="65"/>
      <c r="F42" s="132"/>
      <c r="G42" s="61"/>
      <c r="H42" s="65"/>
      <c r="I42" s="65"/>
      <c r="J42" s="65"/>
      <c r="K42" s="65"/>
    </row>
    <row r="43" spans="1:21">
      <c r="E43" s="59"/>
    </row>
    <row r="46" spans="1:21">
      <c r="E46" s="60" t="s">
        <v>309</v>
      </c>
    </row>
  </sheetData>
  <sheetProtection algorithmName="SHA-512" hashValue="/aV0EHN3YEbprSOf4FFvHjYfvWqC1lqOC3qSzmDrdIWlMaLJTrce+DcvmgvyrbO8SKFDd/t+UfVNHBK6zcoVWw==" saltValue="HXkWywMvuTuMEevLRwXnEQ==" spinCount="100000" sheet="1" objects="1" scenarios="1"/>
  <mergeCells count="66">
    <mergeCell ref="M30:N30"/>
    <mergeCell ref="M31:N31"/>
    <mergeCell ref="M32:N32"/>
    <mergeCell ref="M33:N33"/>
    <mergeCell ref="J14:L14"/>
    <mergeCell ref="J23:L23"/>
    <mergeCell ref="J19:L19"/>
    <mergeCell ref="E18:F18"/>
    <mergeCell ref="J18:L18"/>
    <mergeCell ref="E20:F20"/>
    <mergeCell ref="J20:L20"/>
    <mergeCell ref="E22:F22"/>
    <mergeCell ref="E19:F19"/>
    <mergeCell ref="B1:U2"/>
    <mergeCell ref="J32:K32"/>
    <mergeCell ref="J31:K31"/>
    <mergeCell ref="B30:C30"/>
    <mergeCell ref="J22:L22"/>
    <mergeCell ref="E9:F9"/>
    <mergeCell ref="J9:L9"/>
    <mergeCell ref="E16:F16"/>
    <mergeCell ref="B7:D11"/>
    <mergeCell ref="E21:F21"/>
    <mergeCell ref="J21:L21"/>
    <mergeCell ref="E7:F7"/>
    <mergeCell ref="J7:L7"/>
    <mergeCell ref="B3:C3"/>
    <mergeCell ref="E8:F8"/>
    <mergeCell ref="J15:L15"/>
    <mergeCell ref="J8:L8"/>
    <mergeCell ref="D3:F3"/>
    <mergeCell ref="I30:L30"/>
    <mergeCell ref="J16:L16"/>
    <mergeCell ref="E17:F17"/>
    <mergeCell ref="J17:L17"/>
    <mergeCell ref="J11:L11"/>
    <mergeCell ref="J12:L12"/>
    <mergeCell ref="J13:L13"/>
    <mergeCell ref="J10:L10"/>
    <mergeCell ref="E10:F10"/>
    <mergeCell ref="E6:F6"/>
    <mergeCell ref="I5:M6"/>
    <mergeCell ref="E5:H5"/>
    <mergeCell ref="E11:F11"/>
    <mergeCell ref="J24:L24"/>
    <mergeCell ref="F39:G39"/>
    <mergeCell ref="B31:C31"/>
    <mergeCell ref="B33:C33"/>
    <mergeCell ref="B34:C34"/>
    <mergeCell ref="B32:D32"/>
    <mergeCell ref="E25:F25"/>
    <mergeCell ref="J25:L25"/>
    <mergeCell ref="B28:C28"/>
    <mergeCell ref="B29:C29"/>
    <mergeCell ref="E26:F26"/>
    <mergeCell ref="J26:L26"/>
    <mergeCell ref="J27:L27"/>
    <mergeCell ref="E27:F27"/>
    <mergeCell ref="H9:H27"/>
    <mergeCell ref="E24:F24"/>
    <mergeCell ref="G9:G27"/>
    <mergeCell ref="E15:F15"/>
    <mergeCell ref="E14:F14"/>
    <mergeCell ref="E12:F12"/>
    <mergeCell ref="E13:F13"/>
    <mergeCell ref="E23:F23"/>
  </mergeCells>
  <conditionalFormatting sqref="C16">
    <cfRule type="duplicateValues" dxfId="81" priority="149"/>
  </conditionalFormatting>
  <conditionalFormatting sqref="E7:M9 E10:F18 I10:M18 E26:F26 E25 I26:M26 I25 I20:M24 I19:J19 M19 E20:F24 E19">
    <cfRule type="cellIs" dxfId="80" priority="4" operator="equal">
      <formula>$C$16</formula>
    </cfRule>
  </conditionalFormatting>
  <conditionalFormatting sqref="I27:M27">
    <cfRule type="cellIs" dxfId="79" priority="3" operator="equal">
      <formula>$C$16</formula>
    </cfRule>
  </conditionalFormatting>
  <conditionalFormatting sqref="E27:F27">
    <cfRule type="cellIs" dxfId="78" priority="2" operator="equal">
      <formula>$C$16</formula>
    </cfRule>
  </conditionalFormatting>
  <conditionalFormatting sqref="J25:M25">
    <cfRule type="cellIs" dxfId="77" priority="1" operator="equal">
      <formula>$C$16</formula>
    </cfRule>
  </conditionalFormatting>
  <pageMargins left="0.24" right="0.26" top="0.78740157480314965" bottom="0.78740157480314965" header="0.31496062992125984" footer="0.31496062992125984"/>
  <pageSetup paperSize="9" scale="8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P100692_Botão1_Clique">
                <anchor moveWithCells="1" sizeWithCells="1">
                  <from>
                    <xdr:col>17</xdr:col>
                    <xdr:colOff>373380</xdr:colOff>
                    <xdr:row>0</xdr:row>
                    <xdr:rowOff>68580</xdr:rowOff>
                  </from>
                  <to>
                    <xdr:col>18</xdr:col>
                    <xdr:colOff>381000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4">
    <tabColor theme="9"/>
  </sheetPr>
  <dimension ref="A1:B22"/>
  <sheetViews>
    <sheetView workbookViewId="0">
      <selection activeCell="F14" sqref="F14"/>
    </sheetView>
  </sheetViews>
  <sheetFormatPr defaultRowHeight="14.4"/>
  <cols>
    <col min="1" max="1" width="15.5546875" style="38" bestFit="1" customWidth="1"/>
    <col min="2" max="2" width="9.109375" style="38"/>
  </cols>
  <sheetData>
    <row r="1" spans="1:2">
      <c r="A1" s="38" t="s">
        <v>351</v>
      </c>
    </row>
    <row r="2" spans="1:2">
      <c r="A2" s="38" t="s">
        <v>349</v>
      </c>
      <c r="B2" s="38" t="s">
        <v>352</v>
      </c>
    </row>
    <row r="3" spans="1:2">
      <c r="A3" s="38" t="s">
        <v>344</v>
      </c>
      <c r="B3" s="38" t="s">
        <v>353</v>
      </c>
    </row>
    <row r="4" spans="1:2">
      <c r="A4" s="38" t="s">
        <v>345</v>
      </c>
    </row>
    <row r="5" spans="1:2">
      <c r="A5" s="38" t="s">
        <v>346</v>
      </c>
    </row>
    <row r="6" spans="1:2">
      <c r="A6" s="38" t="s">
        <v>49</v>
      </c>
    </row>
    <row r="7" spans="1:2">
      <c r="A7" s="38" t="s">
        <v>68</v>
      </c>
    </row>
    <row r="8" spans="1:2">
      <c r="A8" s="38" t="s">
        <v>347</v>
      </c>
    </row>
    <row r="9" spans="1:2">
      <c r="A9" s="38" t="s">
        <v>82</v>
      </c>
    </row>
    <row r="10" spans="1:2">
      <c r="A10" s="38" t="s">
        <v>350</v>
      </c>
    </row>
    <row r="11" spans="1:2">
      <c r="A11" s="38" t="s">
        <v>129</v>
      </c>
    </row>
    <row r="12" spans="1:2">
      <c r="A12" s="38" t="s">
        <v>140</v>
      </c>
    </row>
    <row r="13" spans="1:2">
      <c r="A13" s="38" t="s">
        <v>149</v>
      </c>
    </row>
    <row r="14" spans="1:2">
      <c r="A14" s="38" t="s">
        <v>348</v>
      </c>
    </row>
    <row r="15" spans="1:2">
      <c r="A15" s="38" t="s">
        <v>184</v>
      </c>
    </row>
    <row r="16" spans="1:2">
      <c r="A16" s="38" t="s">
        <v>204</v>
      </c>
    </row>
    <row r="17" spans="1:1">
      <c r="A17" s="38" t="s">
        <v>220</v>
      </c>
    </row>
    <row r="18" spans="1:1">
      <c r="A18" s="38" t="s">
        <v>225</v>
      </c>
    </row>
    <row r="19" spans="1:1">
      <c r="A19" s="38" t="s">
        <v>243</v>
      </c>
    </row>
    <row r="20" spans="1:1">
      <c r="A20" s="38" t="s">
        <v>256</v>
      </c>
    </row>
    <row r="21" spans="1:1">
      <c r="A21" s="38" t="s">
        <v>270</v>
      </c>
    </row>
    <row r="22" spans="1:1">
      <c r="A22" s="38" t="s">
        <v>275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27">
    <tabColor theme="9"/>
  </sheetPr>
  <dimension ref="A1:Q33"/>
  <sheetViews>
    <sheetView zoomScaleNormal="100" workbookViewId="0">
      <selection activeCell="H12" sqref="H12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3.88671875" style="60" customWidth="1"/>
    <col min="6" max="6" width="12.44140625" style="60" customWidth="1"/>
    <col min="7" max="7" width="15.109375" style="59" customWidth="1"/>
    <col min="8" max="8" width="12.88671875" style="59" customWidth="1"/>
    <col min="9" max="9" width="6.6640625" style="60" customWidth="1"/>
    <col min="10" max="11" width="9.109375" style="60"/>
    <col min="12" max="12" width="9.109375" style="59"/>
    <col min="13" max="13" width="10" style="59" customWidth="1"/>
    <col min="14" max="16384" width="9.109375" style="59"/>
  </cols>
  <sheetData>
    <row r="1" spans="1:17" ht="17.25" customHeight="1">
      <c r="A1" s="125"/>
      <c r="B1" s="432" t="s">
        <v>373</v>
      </c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2"/>
      <c r="Q1" s="432"/>
    </row>
    <row r="2" spans="1:17" ht="16.5" customHeight="1">
      <c r="A2" s="126"/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432"/>
    </row>
    <row r="3" spans="1:17" ht="16.5" customHeight="1">
      <c r="A3" s="126"/>
      <c r="B3" s="462" t="s">
        <v>297</v>
      </c>
      <c r="C3" s="462"/>
      <c r="D3" s="434" t="s">
        <v>310</v>
      </c>
      <c r="E3" s="434"/>
      <c r="F3" s="67"/>
      <c r="G3" s="67"/>
      <c r="H3" s="67"/>
    </row>
    <row r="4" spans="1:17" ht="16.5" customHeight="1">
      <c r="A4" s="126"/>
      <c r="B4" s="179"/>
      <c r="C4" s="179"/>
      <c r="D4" s="179"/>
      <c r="E4" s="179"/>
      <c r="F4" s="67"/>
      <c r="G4" s="67"/>
      <c r="H4" s="67"/>
    </row>
    <row r="5" spans="1:17" ht="16.5" customHeight="1">
      <c r="A5" s="126"/>
      <c r="E5" s="469" t="s">
        <v>416</v>
      </c>
      <c r="F5" s="470"/>
      <c r="G5" s="467" t="s">
        <v>423</v>
      </c>
      <c r="H5" s="468"/>
    </row>
    <row r="6" spans="1:17" ht="13.5" customHeight="1">
      <c r="A6" s="126"/>
      <c r="E6" s="187" t="s">
        <v>411</v>
      </c>
      <c r="F6" s="187" t="s">
        <v>358</v>
      </c>
      <c r="G6" s="468"/>
      <c r="H6" s="468"/>
      <c r="L6" s="60"/>
    </row>
    <row r="7" spans="1:17" ht="15" customHeight="1">
      <c r="A7" s="126"/>
      <c r="B7" s="459" t="s">
        <v>355</v>
      </c>
      <c r="C7" s="460"/>
      <c r="D7" s="461"/>
      <c r="E7" s="172">
        <v>1453313</v>
      </c>
      <c r="F7" s="172" t="s">
        <v>433</v>
      </c>
      <c r="G7" s="62">
        <v>8021208</v>
      </c>
      <c r="H7" s="171"/>
      <c r="L7" s="60"/>
    </row>
    <row r="8" spans="1:17">
      <c r="A8" s="126"/>
      <c r="B8" s="453"/>
      <c r="C8" s="454"/>
      <c r="D8" s="455"/>
      <c r="E8" s="169"/>
      <c r="F8" s="169"/>
      <c r="G8" s="62"/>
      <c r="H8" s="62"/>
      <c r="I8" s="59"/>
      <c r="L8" s="60"/>
    </row>
    <row r="9" spans="1:17">
      <c r="A9" s="126"/>
      <c r="B9" s="453"/>
      <c r="C9" s="454"/>
      <c r="D9" s="455"/>
      <c r="E9" s="169"/>
      <c r="F9" s="169"/>
      <c r="G9" s="62"/>
      <c r="H9" s="62"/>
      <c r="L9" s="60"/>
    </row>
    <row r="10" spans="1:17">
      <c r="A10" s="126"/>
      <c r="B10" s="453"/>
      <c r="C10" s="454"/>
      <c r="D10" s="455"/>
      <c r="E10" s="169"/>
      <c r="F10" s="169"/>
      <c r="G10" s="62"/>
      <c r="H10" s="62"/>
      <c r="L10" s="60"/>
    </row>
    <row r="11" spans="1:17">
      <c r="A11" s="126"/>
      <c r="B11" s="453"/>
      <c r="C11" s="454"/>
      <c r="D11" s="455"/>
      <c r="E11" s="169"/>
      <c r="F11" s="169"/>
      <c r="G11" s="62"/>
      <c r="H11" s="62"/>
      <c r="L11" s="60"/>
    </row>
    <row r="12" spans="1:17">
      <c r="A12" s="126"/>
      <c r="B12" s="453"/>
      <c r="C12" s="454"/>
      <c r="D12" s="455"/>
      <c r="E12" s="169"/>
      <c r="F12" s="169"/>
      <c r="G12" s="62"/>
      <c r="H12" s="62"/>
      <c r="L12" s="60"/>
    </row>
    <row r="13" spans="1:17">
      <c r="A13" s="126"/>
      <c r="B13" s="141"/>
      <c r="C13" s="219"/>
      <c r="D13" s="142"/>
      <c r="E13" s="169"/>
      <c r="F13" s="169"/>
      <c r="G13" s="62"/>
      <c r="H13" s="62"/>
      <c r="L13" s="60"/>
    </row>
    <row r="14" spans="1:17">
      <c r="A14" s="126"/>
      <c r="B14" s="453"/>
      <c r="C14" s="454"/>
      <c r="D14" s="455"/>
      <c r="E14" s="169"/>
      <c r="F14" s="169"/>
      <c r="G14" s="62"/>
      <c r="H14" s="62"/>
      <c r="L14" s="60"/>
    </row>
    <row r="15" spans="1:17">
      <c r="A15" s="126"/>
      <c r="B15" s="456"/>
      <c r="C15" s="457"/>
      <c r="D15" s="458"/>
      <c r="E15" s="169"/>
      <c r="F15" s="169"/>
      <c r="G15" s="62"/>
      <c r="H15" s="62"/>
      <c r="L15" s="60"/>
    </row>
    <row r="16" spans="1:17" ht="7.5" customHeight="1">
      <c r="A16" s="126"/>
      <c r="F16" s="59"/>
    </row>
    <row r="17" spans="1:17">
      <c r="A17" s="126"/>
      <c r="B17" s="443" t="s">
        <v>366</v>
      </c>
      <c r="C17" s="443"/>
      <c r="D17" s="447" t="s">
        <v>412</v>
      </c>
      <c r="E17" s="447"/>
      <c r="G17" s="128"/>
    </row>
    <row r="18" spans="1:17">
      <c r="A18" s="126"/>
      <c r="B18" s="443" t="s">
        <v>356</v>
      </c>
      <c r="C18" s="443"/>
      <c r="D18" s="444" t="s">
        <v>417</v>
      </c>
      <c r="E18" s="444"/>
      <c r="F18" s="127"/>
      <c r="G18" s="128"/>
    </row>
    <row r="19" spans="1:17" ht="15" customHeight="1">
      <c r="A19" s="126"/>
      <c r="B19" s="445" t="s">
        <v>365</v>
      </c>
      <c r="C19" s="446"/>
      <c r="D19" s="444" t="s">
        <v>338</v>
      </c>
      <c r="E19" s="444"/>
      <c r="F19" s="127"/>
      <c r="G19" s="128"/>
    </row>
    <row r="20" spans="1:17" ht="11.25" customHeight="1">
      <c r="A20" s="126"/>
      <c r="H20" s="178"/>
    </row>
    <row r="21" spans="1:17" ht="15.75" customHeight="1">
      <c r="A21" s="126"/>
      <c r="B21" s="436" t="s">
        <v>367</v>
      </c>
      <c r="C21" s="437"/>
      <c r="D21" s="438"/>
      <c r="E21" s="136" t="s">
        <v>375</v>
      </c>
      <c r="F21" s="439"/>
      <c r="G21" s="439"/>
      <c r="H21" s="173"/>
    </row>
    <row r="22" spans="1:17" s="65" customFormat="1" ht="17.25" customHeight="1">
      <c r="A22" s="126"/>
      <c r="B22" s="440" t="s">
        <v>357</v>
      </c>
      <c r="C22" s="441"/>
      <c r="D22" s="131" t="s">
        <v>359</v>
      </c>
      <c r="E22" s="131" t="s">
        <v>374</v>
      </c>
      <c r="F22" s="442"/>
      <c r="G22" s="442"/>
      <c r="H22" s="132"/>
      <c r="I22" s="61"/>
    </row>
    <row r="23" spans="1:17" s="65" customFormat="1" ht="18.75" customHeight="1">
      <c r="A23" s="129"/>
      <c r="B23" s="440" t="s">
        <v>358</v>
      </c>
      <c r="C23" s="441"/>
      <c r="D23" s="131" t="s">
        <v>389</v>
      </c>
      <c r="E23" s="131" t="s">
        <v>278</v>
      </c>
      <c r="F23" s="433"/>
      <c r="G23" s="433"/>
      <c r="H23" s="433"/>
    </row>
    <row r="24" spans="1:17" s="65" customFormat="1" ht="20.100000000000001" customHeight="1">
      <c r="A24" s="129"/>
    </row>
    <row r="25" spans="1:17" s="65" customFormat="1" ht="20.100000000000001" customHeight="1">
      <c r="A25" s="129"/>
      <c r="B25" s="134"/>
      <c r="I25" s="66"/>
      <c r="J25" s="61"/>
      <c r="K25" s="66"/>
      <c r="L25" s="59"/>
      <c r="M25" s="59"/>
      <c r="N25" s="59"/>
      <c r="O25" s="59"/>
      <c r="P25" s="59"/>
      <c r="Q25" s="59"/>
    </row>
    <row r="26" spans="1:17" s="65" customFormat="1" ht="17.25" customHeight="1">
      <c r="A26" s="129"/>
      <c r="I26" s="66"/>
      <c r="J26" s="61"/>
      <c r="K26" s="66"/>
      <c r="L26" s="59"/>
      <c r="M26" s="59"/>
      <c r="N26" s="59"/>
      <c r="O26" s="59"/>
      <c r="P26" s="59"/>
    </row>
    <row r="27" spans="1:17" s="60" customFormat="1" ht="21.75" customHeight="1">
      <c r="A27" s="129"/>
      <c r="B27" s="65"/>
      <c r="C27" s="65"/>
      <c r="D27" s="65"/>
      <c r="E27" s="65"/>
      <c r="F27" s="61"/>
      <c r="G27" s="65"/>
      <c r="H27" s="65"/>
      <c r="L27" s="59"/>
      <c r="M27" s="59"/>
      <c r="N27" s="59"/>
      <c r="O27" s="59"/>
      <c r="P27" s="59"/>
      <c r="Q27" s="59"/>
    </row>
    <row r="28" spans="1:17" s="60" customFormat="1">
      <c r="A28" s="126"/>
      <c r="B28" s="59"/>
      <c r="C28" s="59"/>
      <c r="D28" s="59"/>
      <c r="E28" s="59"/>
      <c r="G28" s="59"/>
      <c r="H28" s="59"/>
      <c r="L28" s="59"/>
      <c r="M28" s="59"/>
      <c r="N28" s="59"/>
      <c r="O28" s="59"/>
      <c r="P28" s="59"/>
      <c r="Q28" s="59"/>
    </row>
    <row r="29" spans="1:17" s="60" customFormat="1">
      <c r="A29" s="126"/>
      <c r="B29" s="59"/>
      <c r="C29" s="59"/>
      <c r="D29" s="59"/>
      <c r="G29" s="59"/>
      <c r="H29" s="59"/>
      <c r="L29" s="59"/>
      <c r="M29" s="59"/>
      <c r="N29" s="59"/>
      <c r="O29" s="59"/>
      <c r="P29" s="59"/>
      <c r="Q29" s="59"/>
    </row>
    <row r="30" spans="1:17" s="60" customFormat="1">
      <c r="A30" s="126"/>
      <c r="B30" s="59"/>
      <c r="C30" s="59"/>
      <c r="D30" s="59"/>
      <c r="G30" s="59"/>
      <c r="H30" s="59"/>
      <c r="L30" s="59"/>
      <c r="M30" s="59"/>
      <c r="N30" s="59"/>
      <c r="O30" s="59"/>
      <c r="P30" s="59"/>
      <c r="Q30" s="59"/>
    </row>
    <row r="31" spans="1:17" s="60" customFormat="1">
      <c r="A31" s="126"/>
      <c r="B31" s="59"/>
      <c r="C31" s="59"/>
      <c r="D31" s="59"/>
      <c r="E31" s="60" t="s">
        <v>309</v>
      </c>
      <c r="G31" s="59"/>
      <c r="H31" s="59"/>
      <c r="L31" s="59"/>
      <c r="M31" s="59"/>
      <c r="N31" s="59"/>
      <c r="O31" s="59"/>
      <c r="P31" s="59"/>
      <c r="Q31" s="59"/>
    </row>
    <row r="32" spans="1:17" s="60" customFormat="1">
      <c r="A32" s="126"/>
      <c r="B32" s="59"/>
      <c r="C32" s="59"/>
      <c r="D32" s="59"/>
      <c r="G32" s="59"/>
      <c r="H32" s="59"/>
      <c r="L32" s="59"/>
      <c r="M32" s="59"/>
      <c r="N32" s="59"/>
      <c r="O32" s="59"/>
      <c r="P32" s="59"/>
      <c r="Q32" s="59"/>
    </row>
    <row r="33" spans="1:17" s="60" customFormat="1">
      <c r="A33" s="59"/>
      <c r="B33" s="59"/>
      <c r="C33" s="59"/>
      <c r="D33" s="59"/>
      <c r="G33" s="59"/>
      <c r="H33" s="59"/>
      <c r="L33" s="59"/>
      <c r="M33" s="59"/>
      <c r="N33" s="59"/>
      <c r="O33" s="59"/>
      <c r="P33" s="59"/>
      <c r="Q33" s="59"/>
    </row>
  </sheetData>
  <sheetProtection algorithmName="SHA-512" hashValue="KM8p+gMThSTeu7QAOAQYdT/WpdYLfOfnKKf/XHAHV93YdAzYpGscW4SsWUrvVUmarBHWS9/qgeaUJ/TRbG2I/A==" saltValue="aH8Dl0C6tX1vVVljhdKVIA==" spinCount="100000" sheet="1" objects="1" scenarios="1"/>
  <mergeCells count="19">
    <mergeCell ref="B23:C23"/>
    <mergeCell ref="F23:H23"/>
    <mergeCell ref="B21:D21"/>
    <mergeCell ref="F21:G21"/>
    <mergeCell ref="B22:C22"/>
    <mergeCell ref="F22:G22"/>
    <mergeCell ref="B17:C17"/>
    <mergeCell ref="D17:E17"/>
    <mergeCell ref="B18:C18"/>
    <mergeCell ref="D18:E18"/>
    <mergeCell ref="B19:C19"/>
    <mergeCell ref="D19:E19"/>
    <mergeCell ref="G5:H6"/>
    <mergeCell ref="B1:Q2"/>
    <mergeCell ref="B14:D15"/>
    <mergeCell ref="B7:D12"/>
    <mergeCell ref="B3:C3"/>
    <mergeCell ref="D3:E3"/>
    <mergeCell ref="E5:F5"/>
  </mergeCells>
  <conditionalFormatting sqref="G11:G15 G7:H8 E7:F15 H11">
    <cfRule type="duplicateValues" dxfId="76" priority="51"/>
  </conditionalFormatting>
  <conditionalFormatting sqref="G11:G15 C13 E7:F15 G7:H8 H11">
    <cfRule type="duplicateValues" dxfId="75" priority="55"/>
  </conditionalFormatting>
  <conditionalFormatting sqref="E7:E15 G7:H15 C13">
    <cfRule type="duplicateValues" dxfId="74" priority="1"/>
  </conditionalFormatting>
  <pageMargins left="0.23622047244094491" right="0.27559055118110237" top="0.78740157480314965" bottom="0.78740157480314965" header="0.31496062992125984" footer="0.31496062992125984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MP100692_Botão1_Clique">
                <anchor moveWithCells="1" sizeWithCells="1">
                  <from>
                    <xdr:col>13</xdr:col>
                    <xdr:colOff>487680</xdr:colOff>
                    <xdr:row>0</xdr:row>
                    <xdr:rowOff>60960</xdr:rowOff>
                  </from>
                  <to>
                    <xdr:col>14</xdr:col>
                    <xdr:colOff>556260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28">
    <tabColor theme="9"/>
  </sheetPr>
  <dimension ref="A1:U38"/>
  <sheetViews>
    <sheetView topLeftCell="A2" zoomScale="90" zoomScaleNormal="90" workbookViewId="0">
      <selection activeCell="E7" sqref="E7:F7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0.33203125" style="60" customWidth="1"/>
    <col min="6" max="6" width="4" style="60" customWidth="1"/>
    <col min="7" max="7" width="10.88671875" style="60" bestFit="1" customWidth="1"/>
    <col min="8" max="8" width="9.109375" style="59" customWidth="1"/>
    <col min="9" max="9" width="4.5546875" style="59" customWidth="1"/>
    <col min="10" max="10" width="4.88671875" style="59" customWidth="1"/>
    <col min="11" max="11" width="9" style="60" customWidth="1"/>
    <col min="12" max="12" width="3.6640625" style="60" customWidth="1"/>
    <col min="13" max="13" width="6.6640625" style="60" customWidth="1"/>
    <col min="14" max="15" width="9.109375" style="60"/>
    <col min="16" max="16" width="9.109375" style="59"/>
    <col min="17" max="17" width="10" style="59" customWidth="1"/>
    <col min="18" max="16384" width="9.109375" style="59"/>
  </cols>
  <sheetData>
    <row r="1" spans="1:20" ht="17.25" customHeight="1">
      <c r="A1" s="125"/>
      <c r="B1" s="487" t="s">
        <v>373</v>
      </c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9"/>
    </row>
    <row r="2" spans="1:20" ht="16.5" customHeight="1">
      <c r="A2" s="126"/>
      <c r="B2" s="490"/>
      <c r="C2" s="491"/>
      <c r="D2" s="491"/>
      <c r="E2" s="491"/>
      <c r="F2" s="491"/>
      <c r="G2" s="491"/>
      <c r="H2" s="491"/>
      <c r="I2" s="491"/>
      <c r="J2" s="491"/>
      <c r="K2" s="491"/>
      <c r="L2" s="491"/>
      <c r="M2" s="491"/>
      <c r="N2" s="491"/>
      <c r="O2" s="491"/>
      <c r="P2" s="491"/>
      <c r="Q2" s="491"/>
      <c r="R2" s="491"/>
      <c r="S2" s="491"/>
      <c r="T2" s="492"/>
    </row>
    <row r="3" spans="1:20" ht="16.5" customHeight="1">
      <c r="A3" s="126"/>
      <c r="B3" s="462" t="s">
        <v>297</v>
      </c>
      <c r="C3" s="462"/>
      <c r="D3" s="434" t="s">
        <v>315</v>
      </c>
      <c r="E3" s="434"/>
      <c r="F3" s="434"/>
      <c r="G3" s="67"/>
      <c r="H3" s="67"/>
      <c r="I3" s="67"/>
      <c r="J3" s="67"/>
      <c r="K3" s="67"/>
    </row>
    <row r="4" spans="1:20" ht="16.5" customHeight="1">
      <c r="A4" s="179"/>
      <c r="B4" s="179"/>
      <c r="C4" s="179"/>
      <c r="D4" s="179"/>
      <c r="E4" s="59"/>
      <c r="F4" s="59"/>
      <c r="G4" s="59"/>
      <c r="K4" s="59"/>
    </row>
    <row r="5" spans="1:20" ht="16.5" customHeight="1">
      <c r="A5" s="126"/>
      <c r="E5" s="469" t="s">
        <v>416</v>
      </c>
      <c r="F5" s="470"/>
      <c r="G5" s="470"/>
      <c r="H5" s="467" t="s">
        <v>419</v>
      </c>
      <c r="I5" s="468"/>
      <c r="J5" s="468"/>
      <c r="K5" s="468"/>
    </row>
    <row r="6" spans="1:20" ht="13.5" customHeight="1">
      <c r="A6" s="126"/>
      <c r="E6" s="525" t="s">
        <v>357</v>
      </c>
      <c r="F6" s="525"/>
      <c r="G6" s="184" t="s">
        <v>358</v>
      </c>
      <c r="H6" s="472"/>
      <c r="I6" s="468"/>
      <c r="J6" s="468"/>
      <c r="K6" s="468"/>
      <c r="P6" s="60"/>
    </row>
    <row r="7" spans="1:20" ht="15" customHeight="1">
      <c r="A7" s="126"/>
      <c r="B7" s="459" t="s">
        <v>355</v>
      </c>
      <c r="C7" s="460"/>
      <c r="D7" s="461"/>
      <c r="E7" s="483">
        <v>1452803</v>
      </c>
      <c r="F7" s="483"/>
      <c r="G7" s="172" t="s">
        <v>420</v>
      </c>
      <c r="H7" s="62">
        <v>6308460</v>
      </c>
      <c r="I7" s="523">
        <v>1970883</v>
      </c>
      <c r="J7" s="502"/>
      <c r="K7" s="62">
        <v>1453154</v>
      </c>
      <c r="P7" s="60"/>
    </row>
    <row r="8" spans="1:20">
      <c r="A8" s="126"/>
      <c r="B8" s="453"/>
      <c r="C8" s="454"/>
      <c r="D8" s="455"/>
      <c r="E8" s="482"/>
      <c r="F8" s="483"/>
      <c r="G8" s="172"/>
      <c r="H8" s="62"/>
      <c r="I8" s="477"/>
      <c r="J8" s="477"/>
      <c r="K8" s="62"/>
      <c r="M8" s="59"/>
      <c r="P8" s="60"/>
    </row>
    <row r="9" spans="1:20">
      <c r="A9" s="126"/>
      <c r="B9" s="453"/>
      <c r="C9" s="454"/>
      <c r="D9" s="455"/>
      <c r="E9" s="482"/>
      <c r="F9" s="483"/>
      <c r="G9" s="172"/>
      <c r="H9" s="62"/>
      <c r="I9" s="477"/>
      <c r="J9" s="477"/>
      <c r="K9" s="62"/>
      <c r="P9" s="60"/>
    </row>
    <row r="10" spans="1:20">
      <c r="A10" s="126"/>
      <c r="B10" s="453"/>
      <c r="C10" s="454"/>
      <c r="D10" s="455"/>
      <c r="E10" s="482"/>
      <c r="F10" s="483"/>
      <c r="G10" s="172"/>
      <c r="H10" s="62"/>
      <c r="I10" s="477"/>
      <c r="J10" s="477"/>
      <c r="K10" s="62"/>
      <c r="P10" s="60"/>
    </row>
    <row r="11" spans="1:20">
      <c r="A11" s="126"/>
      <c r="B11" s="453"/>
      <c r="C11" s="454"/>
      <c r="D11" s="455"/>
      <c r="E11" s="482"/>
      <c r="F11" s="483"/>
      <c r="G11" s="172"/>
      <c r="H11" s="62"/>
      <c r="I11" s="477"/>
      <c r="J11" s="477"/>
      <c r="K11" s="62"/>
      <c r="P11" s="60"/>
    </row>
    <row r="12" spans="1:20">
      <c r="A12" s="126"/>
      <c r="B12" s="453"/>
      <c r="C12" s="454"/>
      <c r="D12" s="455"/>
      <c r="E12" s="482"/>
      <c r="F12" s="483"/>
      <c r="G12" s="172"/>
      <c r="H12" s="62"/>
      <c r="I12" s="477"/>
      <c r="J12" s="477"/>
      <c r="K12" s="62"/>
      <c r="P12" s="60"/>
    </row>
    <row r="13" spans="1:20">
      <c r="A13" s="126"/>
      <c r="B13" s="141"/>
      <c r="C13" s="219"/>
      <c r="D13" s="142"/>
      <c r="E13" s="482"/>
      <c r="F13" s="483"/>
      <c r="G13" s="172"/>
      <c r="H13" s="62"/>
      <c r="I13" s="477"/>
      <c r="J13" s="477"/>
      <c r="K13" s="62"/>
      <c r="P13" s="60"/>
    </row>
    <row r="14" spans="1:20">
      <c r="A14" s="126"/>
      <c r="B14" s="453"/>
      <c r="C14" s="454"/>
      <c r="D14" s="455"/>
      <c r="E14" s="482"/>
      <c r="F14" s="483"/>
      <c r="G14" s="172"/>
      <c r="H14" s="62"/>
      <c r="I14" s="477"/>
      <c r="J14" s="477"/>
      <c r="K14" s="62"/>
      <c r="P14" s="60"/>
    </row>
    <row r="15" spans="1:20">
      <c r="A15" s="126"/>
      <c r="B15" s="456"/>
      <c r="C15" s="457"/>
      <c r="D15" s="458"/>
      <c r="E15" s="482"/>
      <c r="F15" s="483"/>
      <c r="G15" s="172"/>
      <c r="H15" s="62"/>
      <c r="I15" s="477"/>
      <c r="J15" s="477"/>
      <c r="K15" s="62"/>
      <c r="P15" s="60"/>
    </row>
    <row r="16" spans="1:20" ht="7.5" customHeight="1">
      <c r="A16" s="126"/>
      <c r="G16" s="59"/>
    </row>
    <row r="17" spans="1:21">
      <c r="A17" s="126"/>
      <c r="B17" s="443" t="s">
        <v>366</v>
      </c>
      <c r="C17" s="443"/>
      <c r="D17" s="447" t="s">
        <v>412</v>
      </c>
      <c r="E17" s="447"/>
      <c r="H17" s="128"/>
      <c r="I17" s="128"/>
    </row>
    <row r="18" spans="1:21">
      <c r="A18" s="126"/>
      <c r="B18" s="443" t="s">
        <v>356</v>
      </c>
      <c r="C18" s="443"/>
      <c r="D18" s="444" t="s">
        <v>417</v>
      </c>
      <c r="E18" s="444"/>
      <c r="G18" s="127"/>
      <c r="H18" s="128"/>
      <c r="I18" s="128"/>
    </row>
    <row r="19" spans="1:21" ht="15" customHeight="1">
      <c r="A19" s="126"/>
      <c r="B19" s="445" t="s">
        <v>365</v>
      </c>
      <c r="C19" s="446"/>
      <c r="D19" s="444" t="s">
        <v>338</v>
      </c>
      <c r="E19" s="444"/>
      <c r="G19" s="127"/>
      <c r="H19" s="128"/>
      <c r="I19" s="128"/>
    </row>
    <row r="20" spans="1:21" ht="13.5" customHeight="1">
      <c r="A20" s="126"/>
      <c r="I20" s="435"/>
      <c r="J20" s="435"/>
      <c r="K20" s="435"/>
    </row>
    <row r="21" spans="1:21" ht="15.75" customHeight="1">
      <c r="A21" s="126"/>
      <c r="B21" s="436" t="s">
        <v>367</v>
      </c>
      <c r="C21" s="437"/>
      <c r="D21" s="438"/>
      <c r="E21" s="136" t="s">
        <v>375</v>
      </c>
      <c r="F21" s="59"/>
      <c r="G21" s="439"/>
      <c r="H21" s="439"/>
      <c r="I21" s="173"/>
      <c r="J21" s="173"/>
      <c r="K21" s="173"/>
    </row>
    <row r="22" spans="1:21" s="65" customFormat="1" ht="17.25" customHeight="1">
      <c r="A22" s="126"/>
      <c r="B22" s="440" t="s">
        <v>357</v>
      </c>
      <c r="C22" s="441"/>
      <c r="D22" s="131" t="s">
        <v>359</v>
      </c>
      <c r="E22" s="131" t="s">
        <v>374</v>
      </c>
      <c r="F22" s="60"/>
      <c r="G22" s="442"/>
      <c r="H22" s="442"/>
      <c r="I22" s="132"/>
      <c r="J22" s="132"/>
      <c r="K22" s="132"/>
      <c r="L22" s="61"/>
      <c r="M22" s="61"/>
    </row>
    <row r="23" spans="1:21" s="65" customFormat="1" ht="18.75" customHeight="1">
      <c r="A23" s="129"/>
      <c r="B23" s="440" t="s">
        <v>358</v>
      </c>
      <c r="C23" s="441"/>
      <c r="D23" s="131" t="s">
        <v>359</v>
      </c>
      <c r="E23" s="131" t="s">
        <v>374</v>
      </c>
      <c r="G23" s="433"/>
      <c r="H23" s="433"/>
      <c r="I23" s="433"/>
      <c r="J23" s="433"/>
      <c r="K23" s="433"/>
    </row>
    <row r="24" spans="1:21" s="65" customFormat="1" ht="20.100000000000001" customHeight="1">
      <c r="A24" s="129"/>
      <c r="M24" s="160" t="s">
        <v>421</v>
      </c>
    </row>
    <row r="25" spans="1:21" s="65" customFormat="1" ht="20.100000000000001" customHeight="1">
      <c r="A25" s="129"/>
      <c r="C25" s="178"/>
      <c r="H25" s="185"/>
      <c r="I25" s="185"/>
      <c r="J25" s="185"/>
      <c r="K25" s="185"/>
      <c r="L25" s="185"/>
      <c r="M25" s="160" t="s">
        <v>364</v>
      </c>
      <c r="N25" s="185"/>
      <c r="O25" s="185"/>
      <c r="P25" s="185"/>
      <c r="Q25" s="185"/>
      <c r="R25" s="185"/>
    </row>
    <row r="26" spans="1:21" s="65" customFormat="1" ht="16.5" customHeight="1">
      <c r="A26" s="129"/>
      <c r="B26" s="177"/>
      <c r="C26" s="132"/>
      <c r="D26" s="145"/>
      <c r="E26" s="145"/>
      <c r="L26" s="66"/>
      <c r="Q26" s="59"/>
      <c r="R26" s="59"/>
      <c r="S26" s="59"/>
      <c r="T26" s="59"/>
      <c r="U26" s="59"/>
    </row>
    <row r="27" spans="1:21" s="65" customFormat="1" ht="20.100000000000001" customHeight="1">
      <c r="A27" s="129"/>
      <c r="B27" s="177"/>
      <c r="C27" s="132"/>
      <c r="D27" s="132"/>
      <c r="L27" s="66"/>
      <c r="M27" s="66"/>
      <c r="N27" s="61"/>
      <c r="O27" s="66"/>
      <c r="P27" s="59"/>
      <c r="Q27" s="59"/>
      <c r="R27" s="59"/>
      <c r="S27" s="59"/>
      <c r="T27" s="59"/>
      <c r="U27" s="59"/>
    </row>
    <row r="28" spans="1:21" s="65" customFormat="1" ht="22.5" customHeight="1">
      <c r="A28" s="129"/>
      <c r="B28" s="177"/>
      <c r="C28" s="132"/>
      <c r="D28" s="145"/>
      <c r="E28" s="145"/>
      <c r="F28" s="433"/>
      <c r="G28" s="433"/>
      <c r="L28" s="66"/>
      <c r="M28" s="66"/>
      <c r="N28" s="61"/>
      <c r="O28" s="66"/>
      <c r="P28" s="59"/>
      <c r="Q28" s="59"/>
      <c r="R28" s="59"/>
      <c r="S28" s="59"/>
      <c r="T28" s="59"/>
      <c r="U28" s="59"/>
    </row>
    <row r="29" spans="1:21" s="65" customFormat="1" ht="21" customHeight="1">
      <c r="A29" s="129"/>
      <c r="B29" s="177"/>
      <c r="C29" s="146"/>
      <c r="D29" s="146"/>
      <c r="F29" s="132"/>
      <c r="L29" s="61"/>
      <c r="M29" s="66"/>
      <c r="N29" s="61"/>
      <c r="O29" s="66"/>
      <c r="P29" s="59"/>
      <c r="Q29" s="59"/>
      <c r="R29" s="59"/>
      <c r="S29" s="59"/>
      <c r="T29" s="59"/>
      <c r="U29" s="59"/>
    </row>
    <row r="30" spans="1:21" s="65" customFormat="1" ht="20.100000000000001" customHeight="1">
      <c r="A30" s="129"/>
      <c r="B30" s="134"/>
      <c r="F30" s="132"/>
      <c r="L30" s="61"/>
      <c r="M30" s="66"/>
      <c r="N30" s="61"/>
      <c r="O30" s="66"/>
      <c r="P30" s="59"/>
      <c r="Q30" s="59"/>
      <c r="R30" s="59"/>
      <c r="S30" s="59"/>
      <c r="T30" s="59"/>
      <c r="U30" s="59"/>
    </row>
    <row r="31" spans="1:21" s="65" customFormat="1" ht="17.25" customHeight="1">
      <c r="A31" s="129"/>
      <c r="F31" s="132"/>
      <c r="K31" s="61"/>
      <c r="L31" s="61"/>
      <c r="M31" s="66"/>
      <c r="N31" s="61"/>
      <c r="O31" s="66"/>
      <c r="P31" s="59"/>
      <c r="Q31" s="59"/>
      <c r="R31" s="59"/>
      <c r="S31" s="59"/>
      <c r="T31" s="59"/>
    </row>
    <row r="32" spans="1:21" s="60" customFormat="1" ht="21.75" customHeight="1">
      <c r="A32" s="129"/>
      <c r="B32" s="65"/>
      <c r="C32" s="65"/>
      <c r="D32" s="65"/>
      <c r="E32" s="65"/>
      <c r="F32" s="132"/>
      <c r="G32" s="61"/>
      <c r="H32" s="65"/>
      <c r="I32" s="65"/>
      <c r="J32" s="65"/>
      <c r="P32" s="59"/>
      <c r="Q32" s="59"/>
      <c r="R32" s="59"/>
      <c r="S32" s="59"/>
      <c r="T32" s="59"/>
      <c r="U32" s="59"/>
    </row>
    <row r="33" spans="1:21" s="60" customFormat="1">
      <c r="A33" s="126"/>
      <c r="B33" s="59"/>
      <c r="C33" s="59"/>
      <c r="D33" s="59"/>
      <c r="E33" s="59"/>
      <c r="H33" s="59"/>
      <c r="I33" s="59"/>
      <c r="J33" s="59"/>
      <c r="P33" s="59"/>
      <c r="Q33" s="59"/>
      <c r="R33" s="59"/>
      <c r="S33" s="59"/>
      <c r="T33" s="59"/>
      <c r="U33" s="59"/>
    </row>
    <row r="34" spans="1:21" s="60" customFormat="1">
      <c r="A34" s="126"/>
      <c r="B34" s="59"/>
      <c r="C34" s="59"/>
      <c r="D34" s="59"/>
      <c r="H34" s="59"/>
      <c r="I34" s="59"/>
      <c r="J34" s="59"/>
      <c r="P34" s="59"/>
      <c r="Q34" s="59"/>
      <c r="R34" s="59"/>
      <c r="S34" s="59"/>
      <c r="T34" s="59"/>
      <c r="U34" s="59"/>
    </row>
    <row r="35" spans="1:21" s="60" customFormat="1">
      <c r="A35" s="126"/>
      <c r="B35" s="59"/>
      <c r="C35" s="59"/>
      <c r="D35" s="59"/>
      <c r="H35" s="59"/>
      <c r="I35" s="59"/>
      <c r="J35" s="59"/>
      <c r="P35" s="59"/>
      <c r="Q35" s="59"/>
      <c r="R35" s="59"/>
      <c r="S35" s="59"/>
      <c r="T35" s="59"/>
      <c r="U35" s="59"/>
    </row>
    <row r="36" spans="1:21" s="60" customFormat="1">
      <c r="A36" s="126"/>
      <c r="B36" s="59"/>
      <c r="C36" s="59"/>
      <c r="D36" s="59"/>
      <c r="E36" s="60" t="s">
        <v>309</v>
      </c>
      <c r="H36" s="59"/>
      <c r="I36" s="59"/>
      <c r="J36" s="59"/>
      <c r="P36" s="59"/>
      <c r="Q36" s="59"/>
      <c r="R36" s="59"/>
      <c r="S36" s="59"/>
      <c r="T36" s="59"/>
      <c r="U36" s="59"/>
    </row>
    <row r="37" spans="1:21" s="60" customFormat="1">
      <c r="A37" s="126"/>
      <c r="B37" s="59"/>
      <c r="C37" s="59"/>
      <c r="D37" s="59"/>
      <c r="H37" s="59"/>
      <c r="I37" s="59"/>
      <c r="J37" s="59"/>
      <c r="P37" s="59"/>
      <c r="Q37" s="59"/>
      <c r="R37" s="59"/>
      <c r="S37" s="59"/>
      <c r="T37" s="59"/>
      <c r="U37" s="59"/>
    </row>
    <row r="38" spans="1:21" s="60" customFormat="1">
      <c r="A38" s="59"/>
      <c r="B38" s="59"/>
      <c r="C38" s="59"/>
      <c r="D38" s="59"/>
      <c r="H38" s="59"/>
      <c r="I38" s="59"/>
      <c r="J38" s="59"/>
      <c r="P38" s="59"/>
      <c r="Q38" s="59"/>
      <c r="R38" s="59"/>
      <c r="S38" s="59"/>
      <c r="T38" s="59"/>
      <c r="U38" s="59"/>
    </row>
  </sheetData>
  <sheetProtection algorithmName="SHA-512" hashValue="ezY5g87pyahgYZlQaB0YzIJUowYQj/OieWuWm66CdmTJ7obe/ZFjuKf7sWLNRn9a7FOITpGvrJxDmh+Fj3HwlQ==" saltValue="twwWZ9XY7Ilw2RgpjkCi9g==" spinCount="100000" sheet="1" objects="1" scenarios="1"/>
  <mergeCells count="40">
    <mergeCell ref="B3:C3"/>
    <mergeCell ref="D3:F3"/>
    <mergeCell ref="E6:F6"/>
    <mergeCell ref="E5:G5"/>
    <mergeCell ref="H5:K6"/>
    <mergeCell ref="B1:T2"/>
    <mergeCell ref="E12:F12"/>
    <mergeCell ref="I12:J12"/>
    <mergeCell ref="E13:F13"/>
    <mergeCell ref="I13:J13"/>
    <mergeCell ref="B7:D12"/>
    <mergeCell ref="E7:F7"/>
    <mergeCell ref="I7:J7"/>
    <mergeCell ref="E8:F8"/>
    <mergeCell ref="I8:J8"/>
    <mergeCell ref="E9:F9"/>
    <mergeCell ref="I9:J9"/>
    <mergeCell ref="E10:F10"/>
    <mergeCell ref="I10:J10"/>
    <mergeCell ref="E11:F11"/>
    <mergeCell ref="I11:J11"/>
    <mergeCell ref="B14:D15"/>
    <mergeCell ref="E14:F14"/>
    <mergeCell ref="I14:J14"/>
    <mergeCell ref="E15:F15"/>
    <mergeCell ref="I15:J15"/>
    <mergeCell ref="B17:C17"/>
    <mergeCell ref="D17:E17"/>
    <mergeCell ref="B18:C18"/>
    <mergeCell ref="D18:E18"/>
    <mergeCell ref="B19:C19"/>
    <mergeCell ref="D19:E19"/>
    <mergeCell ref="B23:C23"/>
    <mergeCell ref="G23:K23"/>
    <mergeCell ref="F28:G28"/>
    <mergeCell ref="I20:K20"/>
    <mergeCell ref="B21:D21"/>
    <mergeCell ref="G21:H21"/>
    <mergeCell ref="B22:C22"/>
    <mergeCell ref="G22:H22"/>
  </mergeCells>
  <conditionalFormatting sqref="H11:H15 E7:J8 E9:G15 I11:K11">
    <cfRule type="duplicateValues" dxfId="73" priority="3"/>
  </conditionalFormatting>
  <conditionalFormatting sqref="H11:H15 C13 E7:G15 H7:J8 I11:K11">
    <cfRule type="duplicateValues" dxfId="72" priority="2"/>
  </conditionalFormatting>
  <conditionalFormatting sqref="C13 E7:K7">
    <cfRule type="duplicateValues" dxfId="71" priority="1"/>
  </conditionalFormatting>
  <pageMargins left="0.23622047244094491" right="0.27559055118110237" top="0.78740157480314965" bottom="0.78740157480314965" header="0.31496062992125984" footer="0.31496062992125984"/>
  <pageSetup paperSize="9" scale="9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MP100692_Botão1_Clique">
                <anchor moveWithCells="1" sizeWithCells="1">
                  <from>
                    <xdr:col>17</xdr:col>
                    <xdr:colOff>30480</xdr:colOff>
                    <xdr:row>0</xdr:row>
                    <xdr:rowOff>60960</xdr:rowOff>
                  </from>
                  <to>
                    <xdr:col>18</xdr:col>
                    <xdr:colOff>99060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29">
    <tabColor theme="9"/>
  </sheetPr>
  <dimension ref="A1:T38"/>
  <sheetViews>
    <sheetView zoomScaleNormal="100" workbookViewId="0">
      <selection activeCell="L5" sqref="L5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3.109375" style="60" customWidth="1"/>
    <col min="6" max="6" width="12.109375" style="60" customWidth="1"/>
    <col min="7" max="7" width="8.6640625" style="60" customWidth="1"/>
    <col min="8" max="8" width="0.88671875" style="59" customWidth="1"/>
    <col min="9" max="9" width="8.6640625" style="59" customWidth="1"/>
    <col min="10" max="10" width="10.6640625" style="59" customWidth="1"/>
    <col min="11" max="11" width="3.6640625" style="60" customWidth="1"/>
    <col min="12" max="12" width="6.6640625" style="60" customWidth="1"/>
    <col min="13" max="13" width="5.44140625" style="60" customWidth="1"/>
    <col min="14" max="14" width="11.5546875" style="60" bestFit="1" customWidth="1"/>
    <col min="15" max="15" width="9.109375" style="59"/>
    <col min="16" max="16" width="10" style="59" customWidth="1"/>
    <col min="17" max="19" width="9.109375" style="59"/>
    <col min="20" max="20" width="1.6640625" style="59" customWidth="1"/>
    <col min="21" max="16384" width="9.109375" style="59"/>
  </cols>
  <sheetData>
    <row r="1" spans="1:19" ht="17.25" customHeight="1">
      <c r="A1" s="125"/>
      <c r="B1" s="432" t="s">
        <v>373</v>
      </c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2"/>
      <c r="Q1" s="432"/>
      <c r="R1" s="432"/>
      <c r="S1" s="432"/>
    </row>
    <row r="2" spans="1:19" ht="16.5" customHeight="1">
      <c r="A2" s="126"/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432"/>
      <c r="R2" s="432"/>
      <c r="S2" s="432"/>
    </row>
    <row r="3" spans="1:19" ht="16.5" customHeight="1">
      <c r="A3" s="126"/>
      <c r="B3" s="200" t="s">
        <v>297</v>
      </c>
      <c r="C3" s="200"/>
      <c r="D3" s="197" t="s">
        <v>318</v>
      </c>
      <c r="E3" s="199"/>
      <c r="F3" s="179"/>
      <c r="G3" s="67"/>
      <c r="H3" s="67"/>
      <c r="I3" s="67"/>
      <c r="J3" s="67"/>
    </row>
    <row r="4" spans="1:19" ht="16.5" customHeight="1">
      <c r="A4" s="126"/>
      <c r="B4" s="179"/>
      <c r="C4" s="179"/>
      <c r="D4" s="179"/>
      <c r="E4" s="179"/>
      <c r="F4" s="179"/>
      <c r="G4" s="67"/>
      <c r="H4" s="67"/>
      <c r="I4" s="67"/>
      <c r="J4" s="67"/>
    </row>
    <row r="5" spans="1:19" ht="15" customHeight="1">
      <c r="A5" s="126"/>
      <c r="E5" s="529" t="s">
        <v>416</v>
      </c>
      <c r="F5" s="498"/>
      <c r="G5" s="467" t="s">
        <v>423</v>
      </c>
      <c r="H5" s="468"/>
      <c r="I5" s="468"/>
      <c r="J5" s="468"/>
    </row>
    <row r="6" spans="1:19" ht="16.5" customHeight="1">
      <c r="A6" s="126"/>
      <c r="E6" s="181" t="s">
        <v>411</v>
      </c>
      <c r="F6" s="181" t="s">
        <v>358</v>
      </c>
      <c r="G6" s="468"/>
      <c r="H6" s="468"/>
      <c r="I6" s="468"/>
      <c r="J6" s="468"/>
    </row>
    <row r="7" spans="1:19" ht="15" customHeight="1">
      <c r="A7" s="126"/>
      <c r="B7" s="459" t="s">
        <v>355</v>
      </c>
      <c r="C7" s="460"/>
      <c r="D7" s="461"/>
      <c r="E7" s="186">
        <v>1452809</v>
      </c>
      <c r="F7" s="516" t="s">
        <v>424</v>
      </c>
      <c r="G7" s="150">
        <v>2422382</v>
      </c>
      <c r="H7" s="494"/>
      <c r="I7" s="528"/>
      <c r="J7" s="62"/>
    </row>
    <row r="8" spans="1:19">
      <c r="A8" s="126"/>
      <c r="B8" s="453"/>
      <c r="C8" s="454"/>
      <c r="D8" s="455"/>
      <c r="E8" s="172">
        <v>5547575</v>
      </c>
      <c r="F8" s="526"/>
      <c r="G8" s="62"/>
      <c r="H8" s="477"/>
      <c r="I8" s="477"/>
      <c r="J8" s="150"/>
      <c r="K8" s="59"/>
    </row>
    <row r="9" spans="1:19">
      <c r="A9" s="126"/>
      <c r="B9" s="453"/>
      <c r="C9" s="454"/>
      <c r="D9" s="455"/>
      <c r="E9" s="169">
        <v>1452806</v>
      </c>
      <c r="F9" s="527"/>
      <c r="G9" s="62">
        <v>8088426</v>
      </c>
      <c r="H9" s="477">
        <v>5697656</v>
      </c>
      <c r="I9" s="477"/>
      <c r="J9" s="62"/>
    </row>
    <row r="10" spans="1:19">
      <c r="A10" s="126"/>
      <c r="B10" s="453"/>
      <c r="C10" s="454"/>
      <c r="D10" s="455"/>
      <c r="E10" s="169"/>
      <c r="F10" s="172"/>
      <c r="G10" s="62"/>
      <c r="H10" s="477"/>
      <c r="I10" s="477"/>
      <c r="J10" s="62"/>
    </row>
    <row r="11" spans="1:19">
      <c r="A11" s="126"/>
      <c r="B11" s="453"/>
      <c r="C11" s="454"/>
      <c r="D11" s="455"/>
      <c r="E11" s="169"/>
      <c r="F11" s="172"/>
      <c r="G11" s="62"/>
      <c r="H11" s="477"/>
      <c r="I11" s="477"/>
      <c r="J11" s="62"/>
    </row>
    <row r="12" spans="1:19">
      <c r="A12" s="126"/>
      <c r="B12" s="453"/>
      <c r="C12" s="454"/>
      <c r="D12" s="455"/>
      <c r="E12" s="169"/>
      <c r="F12" s="172"/>
      <c r="G12" s="62"/>
      <c r="H12" s="477"/>
      <c r="I12" s="477"/>
      <c r="J12" s="62"/>
    </row>
    <row r="13" spans="1:19">
      <c r="A13" s="126"/>
      <c r="B13" s="141"/>
      <c r="C13" s="219">
        <v>1452809</v>
      </c>
      <c r="D13" s="142"/>
      <c r="E13" s="169"/>
      <c r="F13" s="172"/>
      <c r="G13" s="62"/>
      <c r="H13" s="477"/>
      <c r="I13" s="477"/>
      <c r="J13" s="62"/>
    </row>
    <row r="14" spans="1:19">
      <c r="A14" s="126"/>
      <c r="B14" s="453"/>
      <c r="C14" s="454"/>
      <c r="D14" s="455"/>
      <c r="E14" s="169"/>
      <c r="F14" s="172"/>
      <c r="G14" s="62"/>
      <c r="H14" s="477"/>
      <c r="I14" s="477"/>
      <c r="J14" s="62"/>
    </row>
    <row r="15" spans="1:19">
      <c r="A15" s="126"/>
      <c r="B15" s="456"/>
      <c r="C15" s="457"/>
      <c r="D15" s="458"/>
      <c r="E15" s="169"/>
      <c r="F15" s="172"/>
      <c r="G15" s="62"/>
      <c r="H15" s="477"/>
      <c r="I15" s="477"/>
      <c r="J15" s="62"/>
    </row>
    <row r="16" spans="1:19">
      <c r="A16" s="126"/>
      <c r="G16" s="59"/>
    </row>
    <row r="17" spans="1:20">
      <c r="A17" s="126"/>
      <c r="B17" s="443" t="s">
        <v>366</v>
      </c>
      <c r="C17" s="443"/>
      <c r="D17" s="447" t="s">
        <v>412</v>
      </c>
      <c r="E17" s="447"/>
      <c r="H17" s="128"/>
      <c r="I17" s="128"/>
    </row>
    <row r="18" spans="1:20">
      <c r="A18" s="126"/>
      <c r="B18" s="443" t="s">
        <v>356</v>
      </c>
      <c r="C18" s="443"/>
      <c r="D18" s="444" t="s">
        <v>417</v>
      </c>
      <c r="E18" s="444"/>
      <c r="G18" s="127"/>
      <c r="H18" s="128"/>
      <c r="I18" s="128"/>
    </row>
    <row r="19" spans="1:20" ht="15" customHeight="1">
      <c r="A19" s="126"/>
      <c r="B19" s="445" t="s">
        <v>426</v>
      </c>
      <c r="C19" s="446"/>
      <c r="D19" s="444" t="s">
        <v>319</v>
      </c>
      <c r="E19" s="444"/>
      <c r="G19" s="127"/>
      <c r="H19" s="128"/>
      <c r="I19" s="128"/>
      <c r="M19" s="65"/>
      <c r="N19" s="284" t="s">
        <v>360</v>
      </c>
    </row>
    <row r="20" spans="1:20" ht="15.9" customHeight="1">
      <c r="A20" s="126"/>
      <c r="F20" s="59"/>
      <c r="G20" s="471"/>
      <c r="H20" s="471"/>
      <c r="I20" s="175"/>
      <c r="J20" s="175"/>
      <c r="L20" s="520" t="s">
        <v>361</v>
      </c>
      <c r="M20" s="522"/>
      <c r="N20" s="267" t="s">
        <v>320</v>
      </c>
    </row>
    <row r="21" spans="1:20" ht="15.9" customHeight="1">
      <c r="A21" s="126"/>
      <c r="B21" s="436" t="s">
        <v>367</v>
      </c>
      <c r="C21" s="437"/>
      <c r="D21" s="438"/>
      <c r="E21" s="136" t="s">
        <v>375</v>
      </c>
      <c r="F21" s="59"/>
      <c r="G21" s="439"/>
      <c r="H21" s="439"/>
      <c r="I21" s="173"/>
      <c r="J21" s="173"/>
      <c r="L21" s="520" t="s">
        <v>306</v>
      </c>
      <c r="M21" s="522"/>
      <c r="N21" s="267" t="s">
        <v>624</v>
      </c>
    </row>
    <row r="22" spans="1:20" s="65" customFormat="1" ht="15.9" customHeight="1">
      <c r="A22" s="126"/>
      <c r="B22" s="440" t="s">
        <v>357</v>
      </c>
      <c r="C22" s="441"/>
      <c r="D22" s="131" t="s">
        <v>359</v>
      </c>
      <c r="E22" s="131" t="s">
        <v>374</v>
      </c>
      <c r="F22" s="60"/>
      <c r="G22" s="442"/>
      <c r="H22" s="442"/>
      <c r="I22" s="132"/>
      <c r="J22" s="132"/>
      <c r="K22" s="61"/>
      <c r="L22" s="520" t="s">
        <v>362</v>
      </c>
      <c r="M22" s="522"/>
      <c r="N22" s="267" t="s">
        <v>625</v>
      </c>
    </row>
    <row r="23" spans="1:20" s="65" customFormat="1" ht="15.9" customHeight="1">
      <c r="A23" s="129"/>
      <c r="B23" s="440" t="s">
        <v>358</v>
      </c>
      <c r="C23" s="441"/>
      <c r="D23" s="131" t="s">
        <v>389</v>
      </c>
      <c r="E23" s="131" t="s">
        <v>278</v>
      </c>
      <c r="G23" s="433"/>
      <c r="H23" s="433"/>
      <c r="I23" s="433"/>
      <c r="J23" s="433"/>
      <c r="L23" s="520" t="s">
        <v>363</v>
      </c>
      <c r="M23" s="522"/>
      <c r="N23" s="267" t="s">
        <v>278</v>
      </c>
    </row>
    <row r="24" spans="1:20" s="65" customFormat="1" ht="20.100000000000001" customHeight="1">
      <c r="A24" s="129"/>
    </row>
    <row r="25" spans="1:20" s="65" customFormat="1" ht="20.100000000000001" hidden="1" customHeight="1">
      <c r="A25" s="129"/>
      <c r="C25" s="149" t="s">
        <v>360</v>
      </c>
      <c r="K25" s="61"/>
    </row>
    <row r="26" spans="1:20" s="65" customFormat="1" ht="15.75" hidden="1" customHeight="1">
      <c r="A26" s="129"/>
      <c r="B26" s="144" t="s">
        <v>361</v>
      </c>
      <c r="C26" s="147" t="s">
        <v>320</v>
      </c>
      <c r="D26" s="145"/>
      <c r="F26" s="168"/>
      <c r="K26" s="66"/>
      <c r="Q26" s="59"/>
      <c r="R26" s="59"/>
      <c r="S26" s="59"/>
      <c r="T26" s="59"/>
    </row>
    <row r="27" spans="1:20" s="65" customFormat="1" ht="16.5" hidden="1" customHeight="1">
      <c r="A27" s="129"/>
      <c r="B27" s="144" t="s">
        <v>306</v>
      </c>
      <c r="C27" s="147" t="s">
        <v>425</v>
      </c>
      <c r="D27" s="132"/>
      <c r="E27" s="145"/>
      <c r="K27" s="66"/>
      <c r="P27" s="59"/>
      <c r="Q27" s="59"/>
      <c r="R27" s="59"/>
      <c r="S27" s="59"/>
      <c r="T27" s="59"/>
    </row>
    <row r="28" spans="1:20" s="65" customFormat="1" ht="20.100000000000001" hidden="1" customHeight="1">
      <c r="A28" s="129"/>
      <c r="B28" s="144" t="s">
        <v>362</v>
      </c>
      <c r="C28" s="147" t="s">
        <v>412</v>
      </c>
      <c r="D28" s="145"/>
      <c r="K28" s="66"/>
      <c r="L28" s="66"/>
      <c r="M28" s="61"/>
      <c r="N28" s="66"/>
      <c r="O28" s="59"/>
      <c r="P28" s="59"/>
      <c r="Q28" s="59"/>
      <c r="R28" s="59"/>
      <c r="S28" s="59"/>
      <c r="T28" s="59"/>
    </row>
    <row r="29" spans="1:20" s="65" customFormat="1" ht="22.5" hidden="1" customHeight="1">
      <c r="A29" s="129"/>
      <c r="B29" s="144" t="s">
        <v>363</v>
      </c>
      <c r="C29" s="148" t="s">
        <v>278</v>
      </c>
      <c r="D29" s="146"/>
      <c r="E29" s="145"/>
      <c r="F29" s="433"/>
      <c r="G29" s="433"/>
      <c r="K29" s="66"/>
      <c r="L29" s="66"/>
      <c r="M29" s="61"/>
      <c r="N29" s="66"/>
      <c r="O29" s="59"/>
      <c r="P29" s="59"/>
      <c r="Q29" s="59"/>
      <c r="R29" s="59"/>
      <c r="S29" s="59"/>
      <c r="T29" s="59"/>
    </row>
    <row r="30" spans="1:20" s="65" customFormat="1" ht="21" customHeight="1">
      <c r="A30" s="129"/>
      <c r="B30" s="134"/>
      <c r="F30" s="132"/>
      <c r="K30" s="61"/>
      <c r="L30" s="66"/>
      <c r="M30" s="61"/>
      <c r="N30" s="66"/>
      <c r="O30" s="59"/>
      <c r="P30" s="59"/>
      <c r="Q30" s="59"/>
      <c r="R30" s="59"/>
      <c r="S30" s="59"/>
      <c r="T30" s="59"/>
    </row>
    <row r="31" spans="1:20" s="65" customFormat="1" ht="20.100000000000001" customHeight="1">
      <c r="A31" s="129"/>
      <c r="F31" s="132"/>
      <c r="K31" s="61"/>
      <c r="L31" s="66"/>
      <c r="M31" s="61"/>
      <c r="N31" s="66"/>
      <c r="O31" s="59"/>
      <c r="P31" s="59"/>
      <c r="Q31" s="59"/>
      <c r="R31" s="59"/>
      <c r="S31" s="59"/>
      <c r="T31" s="59"/>
    </row>
    <row r="32" spans="1:20" s="65" customFormat="1" ht="17.25" customHeight="1">
      <c r="A32" s="129"/>
      <c r="F32" s="132"/>
      <c r="K32" s="61"/>
      <c r="L32" s="66"/>
      <c r="M32" s="61"/>
      <c r="N32" s="66"/>
      <c r="O32" s="59"/>
      <c r="P32" s="59"/>
      <c r="Q32" s="59"/>
      <c r="R32" s="59"/>
      <c r="S32" s="59"/>
    </row>
    <row r="33" spans="1:10" ht="21.75" customHeight="1">
      <c r="A33" s="129"/>
      <c r="E33" s="65"/>
      <c r="F33" s="132"/>
      <c r="G33" s="61"/>
      <c r="H33" s="65"/>
      <c r="I33" s="65"/>
      <c r="J33" s="65"/>
    </row>
    <row r="34" spans="1:10">
      <c r="A34" s="126"/>
      <c r="E34" s="59"/>
    </row>
    <row r="35" spans="1:10">
      <c r="A35" s="126"/>
    </row>
    <row r="36" spans="1:10">
      <c r="A36" s="126"/>
    </row>
    <row r="37" spans="1:10">
      <c r="A37" s="126"/>
      <c r="E37" s="60" t="s">
        <v>309</v>
      </c>
    </row>
    <row r="38" spans="1:10">
      <c r="A38" s="126"/>
    </row>
  </sheetData>
  <sheetProtection algorithmName="SHA-512" hashValue="660oj5kA12gldbTSc+Va9MlMrw86/+7OAVJuOor12bFtlJNQgTFFDylBqd1HMny3Rz0zYSNgWVwf6DjEnIiHfQ==" saltValue="MoBKrVYB7lsrRNipiRgBCA==" spinCount="100000" sheet="1" objects="1" scenarios="1"/>
  <mergeCells count="33">
    <mergeCell ref="L21:M21"/>
    <mergeCell ref="L22:M22"/>
    <mergeCell ref="L23:M23"/>
    <mergeCell ref="B1:S2"/>
    <mergeCell ref="H12:I12"/>
    <mergeCell ref="H13:I13"/>
    <mergeCell ref="B14:D15"/>
    <mergeCell ref="H14:I14"/>
    <mergeCell ref="H15:I15"/>
    <mergeCell ref="B7:D12"/>
    <mergeCell ref="H7:I7"/>
    <mergeCell ref="H8:I8"/>
    <mergeCell ref="H9:I9"/>
    <mergeCell ref="H10:I10"/>
    <mergeCell ref="H11:I11"/>
    <mergeCell ref="E5:F5"/>
    <mergeCell ref="G5:J6"/>
    <mergeCell ref="F7:F9"/>
    <mergeCell ref="L20:M20"/>
    <mergeCell ref="B17:C17"/>
    <mergeCell ref="D17:E17"/>
    <mergeCell ref="B18:C18"/>
    <mergeCell ref="D18:E18"/>
    <mergeCell ref="B19:C19"/>
    <mergeCell ref="D19:E19"/>
    <mergeCell ref="B23:C23"/>
    <mergeCell ref="G23:J23"/>
    <mergeCell ref="F29:G29"/>
    <mergeCell ref="G20:H20"/>
    <mergeCell ref="B21:D21"/>
    <mergeCell ref="G21:H21"/>
    <mergeCell ref="B22:C22"/>
    <mergeCell ref="G22:H22"/>
  </mergeCells>
  <conditionalFormatting sqref="G11:G15 E7:I7 E10:F15 H11:J11 E8:E9 G8:I8">
    <cfRule type="duplicateValues" dxfId="70" priority="3"/>
  </conditionalFormatting>
  <conditionalFormatting sqref="G11:G15 C13 E7:F7 G7:I8 H11:J11 E10:F15 E8:E9">
    <cfRule type="duplicateValues" dxfId="69" priority="2"/>
  </conditionalFormatting>
  <conditionalFormatting sqref="C13 G7:J15">
    <cfRule type="duplicateValues" dxfId="68" priority="1"/>
  </conditionalFormatting>
  <pageMargins left="0.23622047244094491" right="0.27559055118110237" top="0.78740157480314965" bottom="0.78740157480314965" header="0.31496062992125984" footer="0.31496062992125984"/>
  <pageSetup paperSize="9"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MP100692_Botão1_Clique">
                <anchor moveWithCells="1" sizeWithCells="1">
                  <from>
                    <xdr:col>16</xdr:col>
                    <xdr:colOff>83820</xdr:colOff>
                    <xdr:row>0</xdr:row>
                    <xdr:rowOff>45720</xdr:rowOff>
                  </from>
                  <to>
                    <xdr:col>17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2"/>
  <dimension ref="A1:L124"/>
  <sheetViews>
    <sheetView workbookViewId="0">
      <selection activeCell="I13" sqref="I13"/>
    </sheetView>
  </sheetViews>
  <sheetFormatPr defaultRowHeight="14.4"/>
  <cols>
    <col min="1" max="1" width="12" style="36" customWidth="1"/>
    <col min="2" max="2" width="31.33203125" customWidth="1"/>
    <col min="3" max="3" width="16" customWidth="1"/>
    <col min="4" max="4" width="9.109375" style="38"/>
    <col min="5" max="5" width="13.44140625" style="38" bestFit="1" customWidth="1"/>
    <col min="6" max="7" width="9.109375" style="38"/>
  </cols>
  <sheetData>
    <row r="1" spans="1:12">
      <c r="A1"/>
    </row>
    <row r="2" spans="1:12">
      <c r="A2" s="1" t="s">
        <v>1</v>
      </c>
      <c r="B2" s="3" t="s">
        <v>7</v>
      </c>
      <c r="C2" s="41"/>
    </row>
    <row r="3" spans="1:12">
      <c r="A3" s="5">
        <v>4893668</v>
      </c>
      <c r="B3" s="7"/>
      <c r="C3" s="35"/>
    </row>
    <row r="4" spans="1:12">
      <c r="A4" s="9">
        <v>9782011</v>
      </c>
      <c r="B4" s="7"/>
      <c r="C4" s="35"/>
      <c r="E4" s="40">
        <v>0.33</v>
      </c>
      <c r="F4" s="38">
        <v>20</v>
      </c>
      <c r="K4" t="s">
        <v>303</v>
      </c>
      <c r="L4" t="s">
        <v>302</v>
      </c>
    </row>
    <row r="5" spans="1:12">
      <c r="A5" s="5">
        <v>3478726</v>
      </c>
      <c r="B5" s="7"/>
      <c r="C5" s="35" t="s">
        <v>304</v>
      </c>
      <c r="D5" s="38" t="s">
        <v>298</v>
      </c>
      <c r="E5" s="38" t="s">
        <v>299</v>
      </c>
      <c r="F5" s="38" t="s">
        <v>302</v>
      </c>
      <c r="G5" s="38" t="s">
        <v>301</v>
      </c>
      <c r="K5">
        <v>33</v>
      </c>
      <c r="L5">
        <v>20</v>
      </c>
    </row>
    <row r="6" spans="1:12">
      <c r="A6" s="13">
        <v>7790536</v>
      </c>
      <c r="B6" s="15" t="s">
        <v>29</v>
      </c>
      <c r="C6" s="42"/>
      <c r="D6" s="38">
        <v>30</v>
      </c>
      <c r="E6" s="38">
        <v>10</v>
      </c>
      <c r="F6" s="38">
        <v>6</v>
      </c>
      <c r="G6" s="38" t="s">
        <v>278</v>
      </c>
      <c r="I6">
        <v>46</v>
      </c>
      <c r="K6" s="39">
        <f>D6*20%</f>
        <v>6</v>
      </c>
    </row>
    <row r="7" spans="1:12">
      <c r="A7" s="13">
        <v>7790964</v>
      </c>
      <c r="B7" s="15" t="s">
        <v>29</v>
      </c>
      <c r="C7" s="42"/>
    </row>
    <row r="8" spans="1:12">
      <c r="A8" s="13">
        <v>7791091</v>
      </c>
      <c r="B8" s="15" t="s">
        <v>29</v>
      </c>
      <c r="C8" s="42"/>
    </row>
    <row r="9" spans="1:12">
      <c r="A9" s="13">
        <v>8546215</v>
      </c>
      <c r="B9" s="15" t="s">
        <v>29</v>
      </c>
      <c r="C9" s="42"/>
    </row>
    <row r="10" spans="1:12">
      <c r="A10" s="13">
        <v>9125752</v>
      </c>
      <c r="B10" s="15" t="s">
        <v>29</v>
      </c>
      <c r="C10" s="42"/>
      <c r="F10" s="38">
        <v>100</v>
      </c>
      <c r="G10" s="38">
        <v>24</v>
      </c>
      <c r="H10">
        <v>36</v>
      </c>
    </row>
    <row r="11" spans="1:12">
      <c r="A11" s="13">
        <v>9125796</v>
      </c>
      <c r="B11" s="15" t="s">
        <v>29</v>
      </c>
      <c r="C11" s="42"/>
      <c r="F11" s="38">
        <v>200</v>
      </c>
      <c r="G11" s="38">
        <v>48</v>
      </c>
      <c r="H11">
        <v>72</v>
      </c>
    </row>
    <row r="12" spans="1:12">
      <c r="A12" s="13">
        <v>763679</v>
      </c>
      <c r="B12" s="15" t="s">
        <v>29</v>
      </c>
      <c r="C12" s="42"/>
      <c r="F12" s="38">
        <v>300</v>
      </c>
      <c r="G12" s="38">
        <f>G10*3</f>
        <v>72</v>
      </c>
      <c r="H12">
        <f>H10*3</f>
        <v>108</v>
      </c>
    </row>
    <row r="13" spans="1:12">
      <c r="A13" s="13">
        <v>1452812</v>
      </c>
      <c r="B13" s="15" t="s">
        <v>29</v>
      </c>
      <c r="C13" s="42"/>
      <c r="F13" s="38">
        <v>400</v>
      </c>
      <c r="G13" s="38">
        <v>24</v>
      </c>
      <c r="H13">
        <v>36</v>
      </c>
    </row>
    <row r="14" spans="1:12">
      <c r="A14" s="13">
        <v>1453033</v>
      </c>
      <c r="B14" s="15" t="s">
        <v>29</v>
      </c>
      <c r="C14" s="42"/>
      <c r="F14" s="38">
        <v>500</v>
      </c>
      <c r="G14" s="38">
        <v>24</v>
      </c>
      <c r="H14">
        <v>36</v>
      </c>
    </row>
    <row r="15" spans="1:12">
      <c r="A15" s="13">
        <v>1453035</v>
      </c>
      <c r="B15" s="15" t="s">
        <v>29</v>
      </c>
      <c r="C15" s="42"/>
      <c r="F15" s="38">
        <v>600</v>
      </c>
      <c r="G15" s="38">
        <v>24</v>
      </c>
      <c r="H15">
        <v>36</v>
      </c>
    </row>
    <row r="16" spans="1:12">
      <c r="A16" s="13">
        <v>1453086</v>
      </c>
      <c r="B16" s="15" t="s">
        <v>29</v>
      </c>
      <c r="C16" s="42"/>
      <c r="F16" s="38">
        <v>700</v>
      </c>
      <c r="G16" s="38">
        <v>24</v>
      </c>
      <c r="H16">
        <v>36</v>
      </c>
    </row>
    <row r="17" spans="1:8">
      <c r="A17" s="13">
        <v>1453100</v>
      </c>
      <c r="B17" s="15" t="s">
        <v>29</v>
      </c>
      <c r="C17" s="42"/>
      <c r="F17" s="38">
        <v>800</v>
      </c>
      <c r="G17" s="38">
        <v>24</v>
      </c>
      <c r="H17">
        <v>36</v>
      </c>
    </row>
    <row r="18" spans="1:8">
      <c r="A18" s="13">
        <v>7625494</v>
      </c>
      <c r="B18" s="15" t="s">
        <v>29</v>
      </c>
      <c r="C18" s="42"/>
      <c r="F18" s="38">
        <v>900</v>
      </c>
      <c r="G18" s="38">
        <v>24</v>
      </c>
      <c r="H18">
        <v>36</v>
      </c>
    </row>
    <row r="19" spans="1:8">
      <c r="A19" s="13">
        <v>763679</v>
      </c>
      <c r="B19" s="15" t="s">
        <v>29</v>
      </c>
      <c r="C19" s="42"/>
      <c r="F19" s="38">
        <v>1000</v>
      </c>
      <c r="G19" s="38">
        <v>24</v>
      </c>
      <c r="H19">
        <v>36</v>
      </c>
    </row>
    <row r="20" spans="1:8">
      <c r="A20" s="13">
        <v>9123710</v>
      </c>
      <c r="B20" s="15" t="s">
        <v>29</v>
      </c>
      <c r="C20" s="42"/>
    </row>
    <row r="21" spans="1:8">
      <c r="A21" s="13">
        <v>9125774</v>
      </c>
      <c r="B21" s="15" t="s">
        <v>29</v>
      </c>
      <c r="C21" s="42"/>
    </row>
    <row r="22" spans="1:8">
      <c r="A22" s="13">
        <v>9125857</v>
      </c>
      <c r="B22" s="15" t="s">
        <v>29</v>
      </c>
      <c r="C22" s="42"/>
    </row>
    <row r="23" spans="1:8">
      <c r="A23" s="13">
        <v>1452815</v>
      </c>
      <c r="B23" s="17" t="s">
        <v>53</v>
      </c>
      <c r="C23" s="43"/>
    </row>
    <row r="24" spans="1:8">
      <c r="A24" s="13">
        <v>1453313</v>
      </c>
      <c r="B24" s="17" t="s">
        <v>60</v>
      </c>
      <c r="C24" s="43"/>
    </row>
    <row r="25" spans="1:8">
      <c r="A25" s="13">
        <v>2182101</v>
      </c>
      <c r="B25" s="17" t="s">
        <v>53</v>
      </c>
      <c r="C25" s="43"/>
    </row>
    <row r="26" spans="1:8">
      <c r="A26" s="13">
        <v>8021208</v>
      </c>
      <c r="B26" s="17" t="s">
        <v>60</v>
      </c>
      <c r="C26" s="43"/>
    </row>
    <row r="27" spans="1:8">
      <c r="A27" s="13">
        <v>1453150</v>
      </c>
      <c r="B27" s="17" t="s">
        <v>53</v>
      </c>
      <c r="C27" s="43"/>
    </row>
    <row r="28" spans="1:8">
      <c r="A28" s="13">
        <v>1452958</v>
      </c>
      <c r="B28" s="17" t="s">
        <v>78</v>
      </c>
      <c r="C28" s="43"/>
    </row>
    <row r="29" spans="1:8">
      <c r="A29" s="13">
        <v>9926752</v>
      </c>
      <c r="B29" s="17" t="s">
        <v>78</v>
      </c>
      <c r="C29" s="43"/>
    </row>
    <row r="30" spans="1:8">
      <c r="A30" s="13">
        <v>1452745</v>
      </c>
      <c r="B30" s="17" t="s">
        <v>60</v>
      </c>
      <c r="C30" s="43"/>
    </row>
    <row r="31" spans="1:8">
      <c r="A31" s="13">
        <v>1452784</v>
      </c>
      <c r="B31" s="20" t="s">
        <v>89</v>
      </c>
      <c r="C31" s="44"/>
    </row>
    <row r="32" spans="1:8">
      <c r="A32" s="5">
        <v>1452908</v>
      </c>
      <c r="B32" s="7"/>
      <c r="C32" s="35"/>
    </row>
    <row r="33" spans="1:3">
      <c r="A33" s="22">
        <v>1452909</v>
      </c>
      <c r="B33" s="23"/>
      <c r="C33" s="45"/>
    </row>
    <row r="34" spans="1:3">
      <c r="A34" s="22">
        <v>1452910</v>
      </c>
      <c r="B34" s="23"/>
      <c r="C34" s="45"/>
    </row>
    <row r="35" spans="1:3">
      <c r="A35" s="22">
        <v>1452911</v>
      </c>
      <c r="B35" s="23"/>
      <c r="C35" s="45"/>
    </row>
    <row r="36" spans="1:3">
      <c r="A36" s="13">
        <v>1832879</v>
      </c>
      <c r="B36" s="20" t="s">
        <v>89</v>
      </c>
      <c r="C36" s="44"/>
    </row>
    <row r="37" spans="1:3">
      <c r="A37" s="13">
        <v>7066163</v>
      </c>
      <c r="B37" s="17" t="s">
        <v>89</v>
      </c>
      <c r="C37" s="43"/>
    </row>
    <row r="38" spans="1:3">
      <c r="A38" s="13">
        <v>91721</v>
      </c>
      <c r="B38" s="17" t="s">
        <v>89</v>
      </c>
      <c r="C38" s="43"/>
    </row>
    <row r="39" spans="1:3">
      <c r="A39" s="5">
        <v>9253300</v>
      </c>
      <c r="B39" s="7"/>
      <c r="C39" s="35"/>
    </row>
    <row r="40" spans="1:3">
      <c r="A40" s="13">
        <v>91721</v>
      </c>
      <c r="B40" s="17" t="s">
        <v>89</v>
      </c>
      <c r="C40" s="43"/>
    </row>
    <row r="41" spans="1:3" ht="28.8">
      <c r="A41" s="13">
        <v>645324</v>
      </c>
      <c r="B41" s="24" t="s">
        <v>111</v>
      </c>
      <c r="C41" s="46"/>
    </row>
    <row r="42" spans="1:3">
      <c r="A42" s="13">
        <v>1019849</v>
      </c>
      <c r="B42" s="17" t="s">
        <v>89</v>
      </c>
      <c r="C42" s="43"/>
    </row>
    <row r="43" spans="1:3">
      <c r="A43" s="13">
        <v>1363680</v>
      </c>
      <c r="B43" s="17" t="s">
        <v>89</v>
      </c>
      <c r="C43" s="43"/>
    </row>
    <row r="44" spans="1:3">
      <c r="A44" s="13">
        <v>1452944</v>
      </c>
      <c r="B44" s="17" t="s">
        <v>89</v>
      </c>
      <c r="C44" s="43"/>
    </row>
    <row r="45" spans="1:3">
      <c r="A45" s="13">
        <v>1453152</v>
      </c>
      <c r="B45" s="17" t="s">
        <v>89</v>
      </c>
      <c r="C45" s="43"/>
    </row>
    <row r="46" spans="1:3">
      <c r="A46" s="13">
        <v>1453317</v>
      </c>
      <c r="B46" s="17" t="s">
        <v>89</v>
      </c>
      <c r="C46" s="43"/>
    </row>
    <row r="47" spans="1:3">
      <c r="A47" s="13">
        <v>1453325</v>
      </c>
      <c r="B47" s="17" t="s">
        <v>89</v>
      </c>
      <c r="C47" s="43"/>
    </row>
    <row r="48" spans="1:3">
      <c r="A48" s="13">
        <v>1453397</v>
      </c>
      <c r="B48" s="17" t="s">
        <v>89</v>
      </c>
      <c r="C48" s="43"/>
    </row>
    <row r="49" spans="1:3">
      <c r="A49" s="5">
        <v>8095100</v>
      </c>
      <c r="B49" s="7"/>
      <c r="C49" s="35"/>
    </row>
    <row r="50" spans="1:3" ht="28.8">
      <c r="A50" s="13">
        <v>1452803</v>
      </c>
      <c r="B50" s="28" t="s">
        <v>133</v>
      </c>
      <c r="C50" s="47"/>
    </row>
    <row r="51" spans="1:3" ht="28.8">
      <c r="A51" s="13">
        <v>6308460</v>
      </c>
      <c r="B51" s="14" t="s">
        <v>133</v>
      </c>
      <c r="C51" s="48"/>
    </row>
    <row r="52" spans="1:3" ht="23.4">
      <c r="A52" s="13">
        <v>1452809</v>
      </c>
      <c r="B52" s="29" t="s">
        <v>143</v>
      </c>
      <c r="C52" s="49"/>
    </row>
    <row r="53" spans="1:3" ht="28.8">
      <c r="A53" s="13">
        <v>5547575</v>
      </c>
      <c r="B53" s="14" t="s">
        <v>143</v>
      </c>
      <c r="C53" s="48"/>
    </row>
    <row r="54" spans="1:3" ht="38.4">
      <c r="A54" s="13">
        <v>6572286</v>
      </c>
      <c r="B54" s="14" t="s">
        <v>153</v>
      </c>
      <c r="C54" s="48"/>
    </row>
    <row r="55" spans="1:3" ht="38.4">
      <c r="A55" s="13">
        <v>1454330</v>
      </c>
      <c r="B55" s="14" t="s">
        <v>153</v>
      </c>
      <c r="C55" s="48"/>
    </row>
    <row r="56" spans="1:3" ht="38.4">
      <c r="A56" s="13">
        <v>7936519</v>
      </c>
      <c r="B56" s="14" t="s">
        <v>153</v>
      </c>
      <c r="C56" s="48"/>
    </row>
    <row r="57" spans="1:3" ht="38.4">
      <c r="A57" s="13">
        <v>1015710</v>
      </c>
      <c r="B57" s="14" t="s">
        <v>153</v>
      </c>
      <c r="C57" s="48"/>
    </row>
    <row r="58" spans="1:3" ht="38.4">
      <c r="A58" s="13">
        <v>13864</v>
      </c>
      <c r="B58" s="14" t="s">
        <v>153</v>
      </c>
      <c r="C58" s="48"/>
    </row>
    <row r="59" spans="1:3" ht="38.4">
      <c r="A59" s="13">
        <v>1452801</v>
      </c>
      <c r="B59" s="14" t="s">
        <v>153</v>
      </c>
      <c r="C59" s="48"/>
    </row>
    <row r="60" spans="1:3" ht="38.4">
      <c r="A60" s="13">
        <v>1452967</v>
      </c>
      <c r="B60" s="14" t="s">
        <v>153</v>
      </c>
      <c r="C60" s="48"/>
    </row>
    <row r="61" spans="1:3" ht="38.4">
      <c r="A61" s="13">
        <v>1452969</v>
      </c>
      <c r="B61" s="14" t="s">
        <v>153</v>
      </c>
      <c r="C61" s="48"/>
    </row>
    <row r="62" spans="1:3" ht="38.4">
      <c r="A62" s="13">
        <v>1452987</v>
      </c>
      <c r="B62" s="14" t="s">
        <v>153</v>
      </c>
      <c r="C62" s="48"/>
    </row>
    <row r="63" spans="1:3" ht="38.4">
      <c r="A63" s="13">
        <v>1453048</v>
      </c>
      <c r="B63" s="14" t="s">
        <v>153</v>
      </c>
      <c r="C63" s="48"/>
    </row>
    <row r="64" spans="1:3" ht="38.4">
      <c r="A64" s="13">
        <v>1455401</v>
      </c>
      <c r="B64" s="14" t="s">
        <v>153</v>
      </c>
      <c r="C64" s="48"/>
    </row>
    <row r="65" spans="1:3" ht="38.4">
      <c r="A65" s="13">
        <v>1655881</v>
      </c>
      <c r="B65" s="14" t="s">
        <v>153</v>
      </c>
      <c r="C65" s="48"/>
    </row>
    <row r="66" spans="1:3" ht="38.4">
      <c r="A66" s="13">
        <v>1727779</v>
      </c>
      <c r="B66" s="14" t="s">
        <v>153</v>
      </c>
      <c r="C66" s="48"/>
    </row>
    <row r="67" spans="1:3" ht="38.4">
      <c r="A67" s="13">
        <v>2078450</v>
      </c>
      <c r="B67" s="14" t="s">
        <v>153</v>
      </c>
      <c r="C67" s="48"/>
    </row>
    <row r="68" spans="1:3" ht="38.4">
      <c r="A68" s="13">
        <v>3840515</v>
      </c>
      <c r="B68" s="14" t="s">
        <v>153</v>
      </c>
      <c r="C68" s="48"/>
    </row>
    <row r="69" spans="1:3" ht="38.4">
      <c r="A69" s="13">
        <v>7936503</v>
      </c>
      <c r="B69" s="14" t="s">
        <v>153</v>
      </c>
      <c r="C69" s="48"/>
    </row>
    <row r="70" spans="1:3" ht="38.4">
      <c r="A70" s="13">
        <v>7936525</v>
      </c>
      <c r="B70" s="14" t="s">
        <v>153</v>
      </c>
      <c r="C70" s="48"/>
    </row>
    <row r="71" spans="1:3" ht="38.4">
      <c r="A71" s="13">
        <v>8358715</v>
      </c>
      <c r="B71" s="14" t="s">
        <v>153</v>
      </c>
      <c r="C71" s="48"/>
    </row>
    <row r="72" spans="1:3">
      <c r="A72" s="13">
        <v>116897</v>
      </c>
      <c r="B72" s="14" t="s">
        <v>188</v>
      </c>
      <c r="C72" s="48"/>
    </row>
    <row r="73" spans="1:3">
      <c r="A73" s="5">
        <v>1938350</v>
      </c>
      <c r="B73" s="7"/>
      <c r="C73" s="35"/>
    </row>
    <row r="74" spans="1:3">
      <c r="A74" s="13">
        <v>117980</v>
      </c>
      <c r="B74" s="14" t="s">
        <v>198</v>
      </c>
      <c r="C74" s="48"/>
    </row>
    <row r="75" spans="1:3">
      <c r="A75" s="13">
        <v>1453157</v>
      </c>
      <c r="B75" s="14" t="s">
        <v>188</v>
      </c>
      <c r="C75" s="48"/>
    </row>
    <row r="76" spans="1:3">
      <c r="A76" s="13">
        <v>1791326</v>
      </c>
      <c r="B76" s="14" t="s">
        <v>198</v>
      </c>
      <c r="C76" s="48"/>
    </row>
    <row r="77" spans="1:3">
      <c r="A77" s="22">
        <v>7629034</v>
      </c>
      <c r="B77" s="14" t="s">
        <v>206</v>
      </c>
      <c r="C77" s="48"/>
    </row>
    <row r="78" spans="1:3">
      <c r="A78" s="5">
        <v>1452808</v>
      </c>
      <c r="B78" s="7"/>
      <c r="C78" s="35"/>
    </row>
    <row r="79" spans="1:3">
      <c r="A79" s="5">
        <v>1453082</v>
      </c>
      <c r="B79" s="7"/>
      <c r="C79" s="35"/>
    </row>
    <row r="80" spans="1:3">
      <c r="A80" s="5">
        <v>2062731</v>
      </c>
      <c r="B80" s="7"/>
      <c r="C80" s="35"/>
    </row>
    <row r="81" spans="1:3">
      <c r="A81" s="22">
        <v>8073826</v>
      </c>
      <c r="B81" s="14" t="s">
        <v>206</v>
      </c>
      <c r="C81" s="48"/>
    </row>
    <row r="82" spans="1:3">
      <c r="A82" s="22">
        <v>8073971</v>
      </c>
      <c r="B82" s="14" t="s">
        <v>206</v>
      </c>
      <c r="C82" s="48"/>
    </row>
    <row r="83" spans="1:3">
      <c r="A83" s="5">
        <v>5228129</v>
      </c>
      <c r="B83" s="7"/>
      <c r="C83" s="35"/>
    </row>
    <row r="84" spans="1:3">
      <c r="A84" s="5">
        <v>543635</v>
      </c>
      <c r="B84" s="7"/>
      <c r="C84" s="35"/>
    </row>
    <row r="85" spans="1:3">
      <c r="A85" s="13">
        <v>2254080</v>
      </c>
      <c r="B85" s="14" t="s">
        <v>222</v>
      </c>
      <c r="C85" s="48"/>
    </row>
    <row r="86" spans="1:3" ht="28.8">
      <c r="A86" s="13">
        <v>7342612</v>
      </c>
      <c r="B86" s="14" t="s">
        <v>228</v>
      </c>
      <c r="C86" s="48"/>
    </row>
    <row r="87" spans="1:3" ht="28.8">
      <c r="A87" s="13">
        <v>1452923</v>
      </c>
      <c r="B87" s="14" t="s">
        <v>235</v>
      </c>
      <c r="C87" s="48"/>
    </row>
    <row r="88" spans="1:3" ht="28.8">
      <c r="A88" s="13">
        <v>1453042</v>
      </c>
      <c r="B88" s="14" t="s">
        <v>235</v>
      </c>
      <c r="C88" s="48"/>
    </row>
    <row r="89" spans="1:3" ht="28.8">
      <c r="A89" s="13">
        <v>1453043</v>
      </c>
      <c r="B89" s="14" t="s">
        <v>235</v>
      </c>
      <c r="C89" s="48"/>
    </row>
    <row r="90" spans="1:3" ht="28.8">
      <c r="A90" s="13">
        <v>7985563</v>
      </c>
      <c r="B90" s="14" t="s">
        <v>228</v>
      </c>
      <c r="C90" s="48"/>
    </row>
    <row r="91" spans="1:3" ht="19.2">
      <c r="A91" s="13">
        <v>7618263</v>
      </c>
      <c r="B91" s="14" t="s">
        <v>246</v>
      </c>
      <c r="C91" s="48"/>
    </row>
    <row r="92" spans="1:3" ht="19.2">
      <c r="A92" s="13">
        <v>4379651</v>
      </c>
      <c r="B92" s="14" t="s">
        <v>252</v>
      </c>
      <c r="C92" s="48"/>
    </row>
    <row r="93" spans="1:3">
      <c r="A93" s="5">
        <v>8526558</v>
      </c>
      <c r="B93" s="7"/>
      <c r="C93" s="35"/>
    </row>
    <row r="94" spans="1:3">
      <c r="A94" s="5">
        <v>8526570</v>
      </c>
      <c r="B94" s="7"/>
      <c r="C94" s="35"/>
    </row>
    <row r="95" spans="1:3">
      <c r="A95" s="13">
        <v>1452880</v>
      </c>
      <c r="B95" s="31"/>
      <c r="C95" s="50"/>
    </row>
    <row r="96" spans="1:3">
      <c r="A96" s="5">
        <v>7790453</v>
      </c>
      <c r="B96" s="7"/>
      <c r="C96" s="35"/>
    </row>
    <row r="97" spans="1:3">
      <c r="A97" s="13">
        <v>1452790</v>
      </c>
      <c r="B97" s="31"/>
      <c r="C97" s="50"/>
    </row>
    <row r="98" spans="1:3">
      <c r="A98" s="5">
        <v>9116664</v>
      </c>
      <c r="B98" s="7"/>
      <c r="C98" s="35"/>
    </row>
    <row r="99" spans="1:3">
      <c r="A99" s="13">
        <v>1452814</v>
      </c>
      <c r="B99" s="31"/>
      <c r="C99" s="50"/>
    </row>
    <row r="100" spans="1:3">
      <c r="A100" s="5">
        <v>7790425</v>
      </c>
      <c r="B100" s="7"/>
      <c r="C100" s="35"/>
    </row>
    <row r="101" spans="1:3">
      <c r="A101" s="5">
        <v>9115787</v>
      </c>
      <c r="B101" s="7"/>
      <c r="C101" s="35"/>
    </row>
    <row r="102" spans="1:3">
      <c r="A102" s="5">
        <v>3844252</v>
      </c>
      <c r="B102" s="7"/>
      <c r="C102" s="35"/>
    </row>
    <row r="103" spans="1:3">
      <c r="A103" s="5">
        <v>8880814</v>
      </c>
      <c r="B103" s="7"/>
      <c r="C103" s="35"/>
    </row>
    <row r="104" spans="1:3">
      <c r="A104" s="22">
        <v>4814164</v>
      </c>
      <c r="B104" s="14" t="s">
        <v>282</v>
      </c>
      <c r="C104" s="48"/>
    </row>
    <row r="105" spans="1:3">
      <c r="A105" s="22">
        <v>402415</v>
      </c>
      <c r="B105" s="19" t="s">
        <v>282</v>
      </c>
      <c r="C105" s="51"/>
    </row>
    <row r="106" spans="1:3">
      <c r="A106" s="22">
        <v>402576</v>
      </c>
      <c r="B106" s="19" t="s">
        <v>283</v>
      </c>
      <c r="C106" s="51"/>
    </row>
    <row r="107" spans="1:3">
      <c r="A107" s="34">
        <v>479125</v>
      </c>
    </row>
    <row r="108" spans="1:3">
      <c r="A108" s="11">
        <v>1676512</v>
      </c>
    </row>
    <row r="109" spans="1:3">
      <c r="A109" s="11">
        <v>2664495</v>
      </c>
    </row>
    <row r="110" spans="1:3">
      <c r="A110" s="34">
        <v>4989174</v>
      </c>
    </row>
    <row r="111" spans="1:3">
      <c r="A111" s="34">
        <v>5051160</v>
      </c>
    </row>
    <row r="112" spans="1:3">
      <c r="A112" s="34">
        <v>5442164</v>
      </c>
    </row>
    <row r="113" spans="1:3">
      <c r="A113" s="34">
        <v>5468620</v>
      </c>
    </row>
    <row r="114" spans="1:3">
      <c r="A114" s="34">
        <v>6689720</v>
      </c>
    </row>
    <row r="115" spans="1:3">
      <c r="A115" s="34">
        <v>7549561</v>
      </c>
    </row>
    <row r="116" spans="1:3">
      <c r="A116" s="22">
        <v>1096172</v>
      </c>
      <c r="B116" s="19" t="s">
        <v>287</v>
      </c>
      <c r="C116" s="51"/>
    </row>
    <row r="117" spans="1:3">
      <c r="A117" s="22">
        <v>2134218</v>
      </c>
      <c r="B117" s="19" t="s">
        <v>290</v>
      </c>
      <c r="C117" s="51"/>
    </row>
    <row r="118" spans="1:3">
      <c r="A118" s="22">
        <v>2770266</v>
      </c>
      <c r="B118" s="19" t="s">
        <v>290</v>
      </c>
      <c r="C118" s="51"/>
    </row>
    <row r="119" spans="1:3">
      <c r="A119" s="22">
        <v>4236654</v>
      </c>
      <c r="B119" s="19" t="s">
        <v>290</v>
      </c>
      <c r="C119" s="51"/>
    </row>
    <row r="120" spans="1:3">
      <c r="A120" s="34">
        <v>479125</v>
      </c>
    </row>
    <row r="121" spans="1:3">
      <c r="A121" s="11">
        <v>5582266</v>
      </c>
    </row>
    <row r="122" spans="1:3">
      <c r="A122" s="34">
        <v>5843533</v>
      </c>
    </row>
    <row r="123" spans="1:3">
      <c r="A123" s="22">
        <v>1097643</v>
      </c>
      <c r="B123" s="19" t="s">
        <v>287</v>
      </c>
      <c r="C123" s="51"/>
    </row>
    <row r="124" spans="1:3">
      <c r="A124" s="5">
        <v>7431920</v>
      </c>
      <c r="B124" s="35"/>
      <c r="C124" s="35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30">
    <tabColor theme="9"/>
  </sheetPr>
  <dimension ref="A1:HA44"/>
  <sheetViews>
    <sheetView topLeftCell="DK1" zoomScaleNormal="100" workbookViewId="0">
      <selection activeCell="Q11" sqref="Q11"/>
    </sheetView>
  </sheetViews>
  <sheetFormatPr defaultColWidth="9.109375" defaultRowHeight="14.4"/>
  <cols>
    <col min="1" max="5" width="9.109375" style="54"/>
    <col min="6" max="6" width="9.33203125" style="54" customWidth="1"/>
    <col min="7" max="7" width="8.44140625" style="54" customWidth="1"/>
    <col min="8" max="9" width="9.109375" style="54"/>
    <col min="10" max="10" width="7.88671875" style="54" customWidth="1"/>
    <col min="11" max="23" width="9.109375" style="54"/>
    <col min="24" max="24" width="2.6640625" style="59" customWidth="1"/>
    <col min="25" max="25" width="12.6640625" style="59" customWidth="1"/>
    <col min="26" max="26" width="13.33203125" style="59" customWidth="1"/>
    <col min="27" max="27" width="11" style="59" customWidth="1"/>
    <col min="28" max="28" width="13.33203125" style="60" customWidth="1"/>
    <col min="29" max="29" width="13" style="60" customWidth="1"/>
    <col min="30" max="30" width="8.6640625" style="60" customWidth="1"/>
    <col min="31" max="31" width="0.88671875" style="59" customWidth="1"/>
    <col min="32" max="32" width="8.6640625" style="59" customWidth="1"/>
    <col min="33" max="33" width="14" style="59" customWidth="1"/>
    <col min="34" max="34" width="8.109375" style="60" customWidth="1"/>
    <col min="35" max="35" width="10.44140625" style="60" customWidth="1"/>
    <col min="36" max="36" width="8.88671875" style="60" customWidth="1"/>
    <col min="37" max="37" width="13.6640625" style="60" customWidth="1"/>
    <col min="38" max="40" width="9.109375" style="54"/>
    <col min="41" max="41" width="9.109375" style="59"/>
    <col min="42" max="42" width="11.33203125" style="59" customWidth="1"/>
    <col min="43" max="43" width="15.44140625" style="59" customWidth="1"/>
    <col min="44" max="45" width="9.109375" style="59"/>
    <col min="46" max="46" width="9.6640625" style="59" customWidth="1"/>
    <col min="47" max="49" width="9.109375" style="59"/>
    <col min="50" max="50" width="14" style="59" customWidth="1"/>
    <col min="51" max="54" width="9.109375" style="59"/>
    <col min="55" max="58" width="9.109375" style="54"/>
    <col min="59" max="59" width="9.109375" style="59"/>
    <col min="60" max="60" width="11.33203125" style="59" customWidth="1"/>
    <col min="61" max="61" width="15.44140625" style="59" customWidth="1"/>
    <col min="62" max="63" width="9.109375" style="59"/>
    <col min="64" max="64" width="10.109375" style="59" bestFit="1" customWidth="1"/>
    <col min="65" max="67" width="9.109375" style="59"/>
    <col min="68" max="68" width="14" style="59" customWidth="1"/>
    <col min="69" max="72" width="9.109375" style="59"/>
    <col min="73" max="76" width="9.109375" style="54"/>
    <col min="77" max="77" width="9.109375" style="59"/>
    <col min="78" max="78" width="11.33203125" style="59" customWidth="1"/>
    <col min="79" max="79" width="15.44140625" style="59" customWidth="1"/>
    <col min="80" max="80" width="10.44140625" style="59" customWidth="1"/>
    <col min="81" max="81" width="9.109375" style="59"/>
    <col min="82" max="82" width="10.109375" style="59" bestFit="1" customWidth="1"/>
    <col min="83" max="85" width="9.109375" style="59"/>
    <col min="86" max="86" width="14" style="59" customWidth="1"/>
    <col min="87" max="90" width="9.109375" style="59"/>
    <col min="91" max="96" width="9.109375" style="54"/>
    <col min="97" max="97" width="9.109375" style="59"/>
    <col min="98" max="98" width="11.33203125" style="59" customWidth="1"/>
    <col min="99" max="99" width="15.44140625" style="59" customWidth="1"/>
    <col min="100" max="100" width="10.44140625" style="59" customWidth="1"/>
    <col min="101" max="101" width="9.109375" style="59"/>
    <col min="102" max="102" width="10.109375" style="59" bestFit="1" customWidth="1"/>
    <col min="103" max="105" width="9.109375" style="59"/>
    <col min="106" max="106" width="14" style="59" customWidth="1"/>
    <col min="107" max="110" width="9.109375" style="59"/>
    <col min="111" max="116" width="9.109375" style="54"/>
    <col min="117" max="117" width="9.109375" style="59"/>
    <col min="118" max="118" width="11.33203125" style="59" customWidth="1"/>
    <col min="119" max="119" width="15.44140625" style="59" customWidth="1"/>
    <col min="120" max="120" width="10.44140625" style="59" customWidth="1"/>
    <col min="121" max="121" width="9.109375" style="59"/>
    <col min="122" max="122" width="10.109375" style="59" bestFit="1" customWidth="1"/>
    <col min="123" max="125" width="9.109375" style="59"/>
    <col min="126" max="126" width="14" style="59" customWidth="1"/>
    <col min="127" max="130" width="9.109375" style="59"/>
    <col min="131" max="134" width="9.109375" style="54"/>
    <col min="135" max="135" width="9.109375" style="59"/>
    <col min="136" max="136" width="11.33203125" style="59" customWidth="1"/>
    <col min="137" max="137" width="15.44140625" style="59" customWidth="1"/>
    <col min="138" max="138" width="10.44140625" style="59" customWidth="1"/>
    <col min="139" max="139" width="9.109375" style="59"/>
    <col min="140" max="140" width="10.109375" style="59" customWidth="1"/>
    <col min="141" max="143" width="9.109375" style="59"/>
    <col min="144" max="144" width="14" style="59" customWidth="1"/>
    <col min="145" max="148" width="9.109375" style="59"/>
    <col min="149" max="154" width="9.109375" style="54"/>
    <col min="155" max="155" width="9.109375" style="59"/>
    <col min="156" max="156" width="11.33203125" style="59" customWidth="1"/>
    <col min="157" max="157" width="15.44140625" style="59" customWidth="1"/>
    <col min="158" max="158" width="10.44140625" style="59" customWidth="1"/>
    <col min="159" max="159" width="9.109375" style="59"/>
    <col min="160" max="160" width="10.109375" style="59" bestFit="1" customWidth="1"/>
    <col min="161" max="163" width="9.109375" style="59"/>
    <col min="164" max="164" width="14" style="59" customWidth="1"/>
    <col min="165" max="168" width="9.109375" style="59"/>
    <col min="169" max="174" width="9.109375" style="54"/>
    <col min="175" max="175" width="9.109375" style="59"/>
    <col min="176" max="176" width="11.33203125" style="59" customWidth="1"/>
    <col min="177" max="177" width="15.44140625" style="59" customWidth="1"/>
    <col min="178" max="178" width="10.44140625" style="59" customWidth="1"/>
    <col min="179" max="179" width="9.109375" style="59"/>
    <col min="180" max="180" width="10.109375" style="59" bestFit="1" customWidth="1"/>
    <col min="181" max="183" width="9.109375" style="59"/>
    <col min="184" max="184" width="14" style="59" customWidth="1"/>
    <col min="185" max="188" width="9.109375" style="59"/>
    <col min="189" max="195" width="9.109375" style="54"/>
    <col min="196" max="196" width="9.109375" style="59"/>
    <col min="197" max="197" width="11.33203125" style="59" customWidth="1"/>
    <col min="198" max="198" width="15.44140625" style="59" customWidth="1"/>
    <col min="199" max="199" width="10.44140625" style="59" customWidth="1"/>
    <col min="200" max="200" width="9.109375" style="59"/>
    <col min="201" max="201" width="10.109375" style="59" bestFit="1" customWidth="1"/>
    <col min="202" max="204" width="9.109375" style="59"/>
    <col min="205" max="205" width="14" style="59" customWidth="1"/>
    <col min="206" max="16384" width="9.109375" style="59"/>
  </cols>
  <sheetData>
    <row r="1" spans="3:209" ht="20.25" customHeight="1">
      <c r="C1" s="535" t="s">
        <v>460</v>
      </c>
      <c r="D1" s="535"/>
      <c r="E1" s="535"/>
      <c r="F1" s="535"/>
      <c r="G1" s="535"/>
      <c r="H1" s="535"/>
      <c r="I1" s="535"/>
      <c r="J1" s="535"/>
      <c r="K1" s="535"/>
      <c r="L1" s="535"/>
      <c r="M1" s="535"/>
      <c r="X1" s="125"/>
      <c r="Y1" s="531" t="s">
        <v>373</v>
      </c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2"/>
      <c r="AO1" s="125"/>
      <c r="AP1" s="531" t="s">
        <v>373</v>
      </c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2"/>
      <c r="BG1" s="125"/>
      <c r="BH1" s="531" t="s">
        <v>373</v>
      </c>
      <c r="BI1" s="531"/>
      <c r="BJ1" s="531"/>
      <c r="BK1" s="531"/>
      <c r="BL1" s="531"/>
      <c r="BM1" s="531"/>
      <c r="BN1" s="531"/>
      <c r="BO1" s="531"/>
      <c r="BP1" s="531"/>
      <c r="BQ1" s="531"/>
      <c r="BR1" s="531"/>
      <c r="BS1" s="531"/>
      <c r="BT1" s="532"/>
      <c r="BY1" s="125"/>
      <c r="BZ1" s="531" t="s">
        <v>373</v>
      </c>
      <c r="CA1" s="531"/>
      <c r="CB1" s="531"/>
      <c r="CC1" s="531"/>
      <c r="CD1" s="531"/>
      <c r="CE1" s="531"/>
      <c r="CF1" s="531"/>
      <c r="CG1" s="531"/>
      <c r="CH1" s="531"/>
      <c r="CI1" s="531"/>
      <c r="CJ1" s="531"/>
      <c r="CK1" s="531"/>
      <c r="CL1" s="532"/>
      <c r="CS1" s="125"/>
      <c r="CT1" s="531" t="s">
        <v>373</v>
      </c>
      <c r="CU1" s="531"/>
      <c r="CV1" s="531"/>
      <c r="CW1" s="531"/>
      <c r="CX1" s="531"/>
      <c r="CY1" s="531"/>
      <c r="CZ1" s="531"/>
      <c r="DA1" s="531"/>
      <c r="DB1" s="531"/>
      <c r="DC1" s="531"/>
      <c r="DD1" s="531"/>
      <c r="DE1" s="531"/>
      <c r="DF1" s="532"/>
      <c r="DM1" s="125"/>
      <c r="DN1" s="531" t="s">
        <v>373</v>
      </c>
      <c r="DO1" s="531"/>
      <c r="DP1" s="531"/>
      <c r="DQ1" s="531"/>
      <c r="DR1" s="531"/>
      <c r="DS1" s="531"/>
      <c r="DT1" s="531"/>
      <c r="DU1" s="531"/>
      <c r="DV1" s="531"/>
      <c r="DW1" s="531"/>
      <c r="DX1" s="531"/>
      <c r="DY1" s="531"/>
      <c r="DZ1" s="532"/>
      <c r="EE1" s="125"/>
      <c r="EF1" s="531" t="s">
        <v>373</v>
      </c>
      <c r="EG1" s="531"/>
      <c r="EH1" s="531"/>
      <c r="EI1" s="531"/>
      <c r="EJ1" s="531"/>
      <c r="EK1" s="531"/>
      <c r="EL1" s="531"/>
      <c r="EM1" s="531"/>
      <c r="EN1" s="531"/>
      <c r="EO1" s="531"/>
      <c r="EP1" s="531"/>
      <c r="EQ1" s="531"/>
      <c r="ER1" s="532"/>
      <c r="EY1" s="125"/>
      <c r="EZ1" s="531" t="s">
        <v>373</v>
      </c>
      <c r="FA1" s="531"/>
      <c r="FB1" s="531"/>
      <c r="FC1" s="531"/>
      <c r="FD1" s="531"/>
      <c r="FE1" s="531"/>
      <c r="FF1" s="531"/>
      <c r="FG1" s="531"/>
      <c r="FH1" s="531"/>
      <c r="FI1" s="531"/>
      <c r="FJ1" s="531"/>
      <c r="FK1" s="531"/>
      <c r="FL1" s="532"/>
      <c r="FS1" s="125"/>
      <c r="FT1" s="531" t="s">
        <v>373</v>
      </c>
      <c r="FU1" s="531"/>
      <c r="FV1" s="531"/>
      <c r="FW1" s="531"/>
      <c r="FX1" s="531"/>
      <c r="FY1" s="531"/>
      <c r="FZ1" s="531"/>
      <c r="GA1" s="531"/>
      <c r="GB1" s="531"/>
      <c r="GC1" s="531"/>
      <c r="GD1" s="531"/>
      <c r="GE1" s="531"/>
      <c r="GF1" s="532"/>
      <c r="GN1" s="125"/>
      <c r="GO1" s="531" t="s">
        <v>373</v>
      </c>
      <c r="GP1" s="531"/>
      <c r="GQ1" s="531"/>
      <c r="GR1" s="531"/>
      <c r="GS1" s="531"/>
      <c r="GT1" s="531"/>
      <c r="GU1" s="531"/>
      <c r="GV1" s="531"/>
      <c r="GW1" s="531"/>
      <c r="GX1" s="531"/>
      <c r="GY1" s="531"/>
      <c r="GZ1" s="531"/>
      <c r="HA1" s="532"/>
    </row>
    <row r="2" spans="3:209" ht="12" customHeight="1">
      <c r="X2" s="126"/>
      <c r="Y2" s="473"/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533"/>
      <c r="AO2" s="126"/>
      <c r="AP2" s="473"/>
      <c r="AQ2" s="473"/>
      <c r="AR2" s="473"/>
      <c r="AS2" s="473"/>
      <c r="AT2" s="473"/>
      <c r="AU2" s="473"/>
      <c r="AV2" s="473"/>
      <c r="AW2" s="473"/>
      <c r="AX2" s="473"/>
      <c r="AY2" s="473"/>
      <c r="AZ2" s="473"/>
      <c r="BA2" s="473"/>
      <c r="BB2" s="533"/>
      <c r="BG2" s="126"/>
      <c r="BH2" s="473"/>
      <c r="BI2" s="473"/>
      <c r="BJ2" s="473"/>
      <c r="BK2" s="473"/>
      <c r="BL2" s="473"/>
      <c r="BM2" s="473"/>
      <c r="BN2" s="473"/>
      <c r="BO2" s="473"/>
      <c r="BP2" s="473"/>
      <c r="BQ2" s="473"/>
      <c r="BR2" s="473"/>
      <c r="BS2" s="473"/>
      <c r="BT2" s="533"/>
      <c r="BY2" s="126"/>
      <c r="BZ2" s="473"/>
      <c r="CA2" s="473"/>
      <c r="CB2" s="473"/>
      <c r="CC2" s="473"/>
      <c r="CD2" s="473"/>
      <c r="CE2" s="473"/>
      <c r="CF2" s="473"/>
      <c r="CG2" s="473"/>
      <c r="CH2" s="473"/>
      <c r="CI2" s="473"/>
      <c r="CJ2" s="473"/>
      <c r="CK2" s="473"/>
      <c r="CL2" s="533"/>
      <c r="CS2" s="126"/>
      <c r="CT2" s="473"/>
      <c r="CU2" s="473"/>
      <c r="CV2" s="473"/>
      <c r="CW2" s="473"/>
      <c r="CX2" s="473"/>
      <c r="CY2" s="473"/>
      <c r="CZ2" s="473"/>
      <c r="DA2" s="473"/>
      <c r="DB2" s="473"/>
      <c r="DC2" s="473"/>
      <c r="DD2" s="473"/>
      <c r="DE2" s="473"/>
      <c r="DF2" s="533"/>
      <c r="DM2" s="126"/>
      <c r="DN2" s="473"/>
      <c r="DO2" s="473"/>
      <c r="DP2" s="473"/>
      <c r="DQ2" s="473"/>
      <c r="DR2" s="473"/>
      <c r="DS2" s="473"/>
      <c r="DT2" s="473"/>
      <c r="DU2" s="473"/>
      <c r="DV2" s="473"/>
      <c r="DW2" s="473"/>
      <c r="DX2" s="473"/>
      <c r="DY2" s="473"/>
      <c r="DZ2" s="533"/>
      <c r="EE2" s="126"/>
      <c r="EF2" s="473"/>
      <c r="EG2" s="473"/>
      <c r="EH2" s="473"/>
      <c r="EI2" s="473"/>
      <c r="EJ2" s="473"/>
      <c r="EK2" s="473"/>
      <c r="EL2" s="473"/>
      <c r="EM2" s="473"/>
      <c r="EN2" s="473"/>
      <c r="EO2" s="473"/>
      <c r="EP2" s="473"/>
      <c r="EQ2" s="473"/>
      <c r="ER2" s="533"/>
      <c r="EY2" s="126"/>
      <c r="EZ2" s="473"/>
      <c r="FA2" s="473"/>
      <c r="FB2" s="473"/>
      <c r="FC2" s="473"/>
      <c r="FD2" s="473"/>
      <c r="FE2" s="473"/>
      <c r="FF2" s="473"/>
      <c r="FG2" s="473"/>
      <c r="FH2" s="473"/>
      <c r="FI2" s="473"/>
      <c r="FJ2" s="473"/>
      <c r="FK2" s="473"/>
      <c r="FL2" s="533"/>
      <c r="FS2" s="126"/>
      <c r="FT2" s="473"/>
      <c r="FU2" s="473"/>
      <c r="FV2" s="473"/>
      <c r="FW2" s="473"/>
      <c r="FX2" s="473"/>
      <c r="FY2" s="473"/>
      <c r="FZ2" s="473"/>
      <c r="GA2" s="473"/>
      <c r="GB2" s="473"/>
      <c r="GC2" s="473"/>
      <c r="GD2" s="473"/>
      <c r="GE2" s="473"/>
      <c r="GF2" s="533"/>
      <c r="GN2" s="126"/>
      <c r="GO2" s="473"/>
      <c r="GP2" s="473"/>
      <c r="GQ2" s="473"/>
      <c r="GR2" s="473"/>
      <c r="GS2" s="473"/>
      <c r="GT2" s="473"/>
      <c r="GU2" s="473"/>
      <c r="GV2" s="473"/>
      <c r="GW2" s="473"/>
      <c r="GX2" s="473"/>
      <c r="GY2" s="473"/>
      <c r="GZ2" s="473"/>
      <c r="HA2" s="533"/>
    </row>
    <row r="3" spans="3:209" ht="16.5" customHeight="1">
      <c r="C3" s="249" t="s">
        <v>461</v>
      </c>
      <c r="I3" s="536">
        <v>1453033</v>
      </c>
      <c r="J3" s="537"/>
      <c r="X3" s="126"/>
      <c r="Y3" s="462" t="s">
        <v>297</v>
      </c>
      <c r="Z3" s="462"/>
      <c r="AA3" s="434" t="s">
        <v>321</v>
      </c>
      <c r="AB3" s="434"/>
      <c r="AC3" s="179"/>
      <c r="AD3" s="67"/>
      <c r="AE3" s="67"/>
      <c r="AF3" s="67"/>
      <c r="AG3" s="67"/>
      <c r="AH3" s="67"/>
      <c r="AK3" s="239"/>
      <c r="AO3" s="126"/>
      <c r="AP3" s="462" t="s">
        <v>297</v>
      </c>
      <c r="AQ3" s="462"/>
      <c r="AR3" s="434" t="s">
        <v>321</v>
      </c>
      <c r="AS3" s="434"/>
      <c r="AT3" s="179"/>
      <c r="AU3" s="67"/>
      <c r="AV3" s="67"/>
      <c r="AW3" s="67"/>
      <c r="AX3" s="67"/>
      <c r="AY3" s="67"/>
      <c r="AZ3" s="60"/>
      <c r="BA3" s="60"/>
      <c r="BB3" s="239"/>
      <c r="BG3" s="126"/>
      <c r="BH3" s="462" t="s">
        <v>297</v>
      </c>
      <c r="BI3" s="462"/>
      <c r="BJ3" s="434" t="s">
        <v>321</v>
      </c>
      <c r="BK3" s="434"/>
      <c r="BL3" s="179"/>
      <c r="BM3" s="67"/>
      <c r="BN3" s="67"/>
      <c r="BO3" s="67"/>
      <c r="BP3" s="67"/>
      <c r="BQ3" s="67"/>
      <c r="BR3" s="60"/>
      <c r="BS3" s="60"/>
      <c r="BT3" s="239"/>
      <c r="BY3" s="126"/>
      <c r="BZ3" s="462" t="s">
        <v>297</v>
      </c>
      <c r="CA3" s="462"/>
      <c r="CB3" s="434" t="s">
        <v>321</v>
      </c>
      <c r="CC3" s="434"/>
      <c r="CD3" s="179"/>
      <c r="CE3" s="67"/>
      <c r="CF3" s="67"/>
      <c r="CG3" s="67"/>
      <c r="CH3" s="67"/>
      <c r="CI3" s="67"/>
      <c r="CJ3" s="60"/>
      <c r="CK3" s="60"/>
      <c r="CL3" s="239"/>
      <c r="CS3" s="126"/>
      <c r="CT3" s="462" t="s">
        <v>297</v>
      </c>
      <c r="CU3" s="462"/>
      <c r="CV3" s="434" t="s">
        <v>321</v>
      </c>
      <c r="CW3" s="434"/>
      <c r="CX3" s="179"/>
      <c r="CY3" s="67"/>
      <c r="CZ3" s="67"/>
      <c r="DA3" s="67"/>
      <c r="DB3" s="67"/>
      <c r="DC3" s="67"/>
      <c r="DD3" s="60"/>
      <c r="DE3" s="60"/>
      <c r="DF3" s="239"/>
      <c r="DM3" s="126"/>
      <c r="DN3" s="462" t="s">
        <v>297</v>
      </c>
      <c r="DO3" s="462"/>
      <c r="DP3" s="434" t="s">
        <v>321</v>
      </c>
      <c r="DQ3" s="434"/>
      <c r="DR3" s="179"/>
      <c r="DS3" s="67"/>
      <c r="DT3" s="67"/>
      <c r="DU3" s="67"/>
      <c r="DV3" s="67"/>
      <c r="DW3" s="67"/>
      <c r="DX3" s="60"/>
      <c r="DY3" s="60"/>
      <c r="DZ3" s="239"/>
      <c r="EE3" s="126"/>
      <c r="EF3" s="462" t="s">
        <v>297</v>
      </c>
      <c r="EG3" s="462"/>
      <c r="EH3" s="434" t="s">
        <v>321</v>
      </c>
      <c r="EI3" s="434"/>
      <c r="EJ3" s="179"/>
      <c r="EK3" s="67"/>
      <c r="EL3" s="67"/>
      <c r="EM3" s="67"/>
      <c r="EN3" s="67"/>
      <c r="EO3" s="67"/>
      <c r="EP3" s="60"/>
      <c r="EQ3" s="60"/>
      <c r="ER3" s="239"/>
      <c r="EY3" s="126"/>
      <c r="EZ3" s="462" t="s">
        <v>297</v>
      </c>
      <c r="FA3" s="462"/>
      <c r="FB3" s="434" t="s">
        <v>321</v>
      </c>
      <c r="FC3" s="434"/>
      <c r="FD3" s="179"/>
      <c r="FE3" s="67"/>
      <c r="FF3" s="67"/>
      <c r="FG3" s="67"/>
      <c r="FH3" s="67"/>
      <c r="FI3" s="67"/>
      <c r="FJ3" s="60"/>
      <c r="FK3" s="60"/>
      <c r="FL3" s="239"/>
      <c r="FS3" s="126"/>
      <c r="FT3" s="462" t="s">
        <v>297</v>
      </c>
      <c r="FU3" s="462"/>
      <c r="FV3" s="434" t="s">
        <v>321</v>
      </c>
      <c r="FW3" s="434"/>
      <c r="FX3" s="179"/>
      <c r="FY3" s="67"/>
      <c r="FZ3" s="67"/>
      <c r="GA3" s="67"/>
      <c r="GB3" s="67"/>
      <c r="GC3" s="67"/>
      <c r="GD3" s="60"/>
      <c r="GE3" s="60"/>
      <c r="GF3" s="239"/>
      <c r="GN3" s="126"/>
      <c r="GO3" s="462" t="s">
        <v>297</v>
      </c>
      <c r="GP3" s="462"/>
      <c r="GQ3" s="434" t="s">
        <v>321</v>
      </c>
      <c r="GR3" s="434"/>
      <c r="GS3" s="179"/>
      <c r="GT3" s="67"/>
      <c r="GU3" s="67"/>
      <c r="GV3" s="67"/>
      <c r="GW3" s="67"/>
      <c r="GX3" s="67"/>
      <c r="GY3" s="60"/>
      <c r="GZ3" s="60"/>
      <c r="HA3" s="239"/>
    </row>
    <row r="4" spans="3:209" ht="6" customHeight="1">
      <c r="X4" s="126"/>
      <c r="Y4" s="179"/>
      <c r="Z4" s="179"/>
      <c r="AA4" s="179"/>
      <c r="AB4" s="179"/>
      <c r="AC4" s="179"/>
      <c r="AD4" s="67"/>
      <c r="AE4" s="67"/>
      <c r="AF4" s="67"/>
      <c r="AG4" s="67"/>
      <c r="AH4" s="67"/>
      <c r="AK4" s="239"/>
      <c r="AO4" s="126"/>
      <c r="AP4" s="179"/>
      <c r="AQ4" s="179"/>
      <c r="AR4" s="179"/>
      <c r="AS4" s="179"/>
      <c r="AT4" s="179"/>
      <c r="AU4" s="67"/>
      <c r="AV4" s="67"/>
      <c r="AW4" s="67"/>
      <c r="AX4" s="67"/>
      <c r="AY4" s="67"/>
      <c r="AZ4" s="60"/>
      <c r="BA4" s="60"/>
      <c r="BB4" s="239"/>
      <c r="BG4" s="126"/>
      <c r="BH4" s="179"/>
      <c r="BI4" s="179"/>
      <c r="BJ4" s="179"/>
      <c r="BK4" s="179"/>
      <c r="BL4" s="179"/>
      <c r="BM4" s="67"/>
      <c r="BN4" s="67"/>
      <c r="BO4" s="67"/>
      <c r="BP4" s="67"/>
      <c r="BQ4" s="67"/>
      <c r="BR4" s="60"/>
      <c r="BS4" s="60"/>
      <c r="BT4" s="239"/>
      <c r="BY4" s="126"/>
      <c r="BZ4" s="179"/>
      <c r="CA4" s="179"/>
      <c r="CB4" s="179"/>
      <c r="CC4" s="179"/>
      <c r="CD4" s="179"/>
      <c r="CE4" s="67"/>
      <c r="CF4" s="67"/>
      <c r="CG4" s="67"/>
      <c r="CH4" s="67"/>
      <c r="CI4" s="67"/>
      <c r="CJ4" s="60"/>
      <c r="CK4" s="60"/>
      <c r="CL4" s="239"/>
      <c r="CS4" s="126"/>
      <c r="CT4" s="179"/>
      <c r="CU4" s="179"/>
      <c r="CV4" s="179"/>
      <c r="CW4" s="179"/>
      <c r="CX4" s="179"/>
      <c r="CY4" s="67"/>
      <c r="CZ4" s="67"/>
      <c r="DA4" s="67"/>
      <c r="DB4" s="67"/>
      <c r="DC4" s="67"/>
      <c r="DD4" s="60"/>
      <c r="DE4" s="60"/>
      <c r="DF4" s="239"/>
      <c r="DM4" s="126"/>
      <c r="DN4" s="179"/>
      <c r="DO4" s="179"/>
      <c r="DP4" s="179"/>
      <c r="DQ4" s="179"/>
      <c r="DR4" s="179"/>
      <c r="DS4" s="67"/>
      <c r="DT4" s="67"/>
      <c r="DU4" s="67"/>
      <c r="DV4" s="67"/>
      <c r="DW4" s="67"/>
      <c r="DX4" s="60"/>
      <c r="DY4" s="60"/>
      <c r="DZ4" s="239"/>
      <c r="EE4" s="126"/>
      <c r="EF4" s="179"/>
      <c r="EG4" s="179"/>
      <c r="EH4" s="179"/>
      <c r="EI4" s="179"/>
      <c r="EJ4" s="179"/>
      <c r="EK4" s="67"/>
      <c r="EL4" s="67"/>
      <c r="EM4" s="67"/>
      <c r="EN4" s="67"/>
      <c r="EO4" s="67"/>
      <c r="EP4" s="60"/>
      <c r="EQ4" s="60"/>
      <c r="ER4" s="239"/>
      <c r="EY4" s="126"/>
      <c r="EZ4" s="179"/>
      <c r="FA4" s="179"/>
      <c r="FB4" s="179"/>
      <c r="FC4" s="179"/>
      <c r="FD4" s="179"/>
      <c r="FE4" s="67"/>
      <c r="FF4" s="67"/>
      <c r="FG4" s="67"/>
      <c r="FH4" s="67"/>
      <c r="FI4" s="67"/>
      <c r="FJ4" s="60"/>
      <c r="FK4" s="60"/>
      <c r="FL4" s="239"/>
      <c r="FS4" s="126"/>
      <c r="FT4" s="179"/>
      <c r="FU4" s="179"/>
      <c r="FV4" s="179"/>
      <c r="FW4" s="179"/>
      <c r="FX4" s="179"/>
      <c r="FY4" s="67"/>
      <c r="FZ4" s="67"/>
      <c r="GA4" s="67"/>
      <c r="GB4" s="67"/>
      <c r="GC4" s="67"/>
      <c r="GD4" s="60"/>
      <c r="GE4" s="60"/>
      <c r="GF4" s="239"/>
      <c r="GN4" s="126"/>
      <c r="GO4" s="179"/>
      <c r="GP4" s="179"/>
      <c r="GQ4" s="179"/>
      <c r="GR4" s="179"/>
      <c r="GS4" s="179"/>
      <c r="GT4" s="67"/>
      <c r="GU4" s="67"/>
      <c r="GV4" s="67"/>
      <c r="GW4" s="67"/>
      <c r="GX4" s="67"/>
      <c r="GY4" s="60"/>
      <c r="GZ4" s="60"/>
      <c r="HA4" s="239"/>
    </row>
    <row r="5" spans="3:209" ht="13.5" customHeight="1">
      <c r="X5" s="126"/>
      <c r="Y5" s="468" t="s">
        <v>416</v>
      </c>
      <c r="Z5" s="468"/>
      <c r="AA5" s="467" t="s">
        <v>423</v>
      </c>
      <c r="AB5" s="468"/>
      <c r="AC5" s="468"/>
      <c r="AD5" s="468"/>
      <c r="AE5" s="468"/>
      <c r="AG5" s="481" t="s">
        <v>393</v>
      </c>
      <c r="AH5" s="481"/>
      <c r="AI5" s="481"/>
      <c r="AJ5" s="481"/>
      <c r="AK5" s="239"/>
      <c r="AO5" s="126"/>
      <c r="AP5" s="468" t="s">
        <v>416</v>
      </c>
      <c r="AQ5" s="468"/>
      <c r="AR5" s="467" t="s">
        <v>423</v>
      </c>
      <c r="AS5" s="468"/>
      <c r="AT5" s="468"/>
      <c r="AU5" s="468"/>
      <c r="AV5" s="468"/>
      <c r="AX5" s="481" t="s">
        <v>393</v>
      </c>
      <c r="AY5" s="481"/>
      <c r="AZ5" s="481"/>
      <c r="BA5" s="481"/>
      <c r="BB5" s="239"/>
      <c r="BG5" s="126"/>
      <c r="BH5" s="468" t="s">
        <v>416</v>
      </c>
      <c r="BI5" s="468"/>
      <c r="BJ5" s="467" t="s">
        <v>423</v>
      </c>
      <c r="BK5" s="468"/>
      <c r="BL5" s="468"/>
      <c r="BM5" s="468"/>
      <c r="BN5" s="468"/>
      <c r="BP5" s="481" t="s">
        <v>393</v>
      </c>
      <c r="BQ5" s="481"/>
      <c r="BR5" s="481"/>
      <c r="BS5" s="481"/>
      <c r="BT5" s="239"/>
      <c r="BY5" s="126"/>
      <c r="BZ5" s="468" t="s">
        <v>416</v>
      </c>
      <c r="CA5" s="468"/>
      <c r="CB5" s="467" t="s">
        <v>423</v>
      </c>
      <c r="CC5" s="468"/>
      <c r="CD5" s="468"/>
      <c r="CE5" s="468"/>
      <c r="CF5" s="468"/>
      <c r="CH5" s="481" t="s">
        <v>393</v>
      </c>
      <c r="CI5" s="481"/>
      <c r="CJ5" s="481"/>
      <c r="CK5" s="481"/>
      <c r="CL5" s="239"/>
      <c r="CS5" s="126"/>
      <c r="CT5" s="468" t="s">
        <v>416</v>
      </c>
      <c r="CU5" s="468"/>
      <c r="CV5" s="467" t="s">
        <v>423</v>
      </c>
      <c r="CW5" s="468"/>
      <c r="CX5" s="468"/>
      <c r="CY5" s="468"/>
      <c r="CZ5" s="468"/>
      <c r="DB5" s="481" t="s">
        <v>393</v>
      </c>
      <c r="DC5" s="481"/>
      <c r="DD5" s="481"/>
      <c r="DE5" s="481"/>
      <c r="DF5" s="239"/>
      <c r="DM5" s="126"/>
      <c r="DN5" s="468" t="s">
        <v>416</v>
      </c>
      <c r="DO5" s="468"/>
      <c r="DP5" s="467" t="s">
        <v>423</v>
      </c>
      <c r="DQ5" s="468"/>
      <c r="DR5" s="468"/>
      <c r="DS5" s="468"/>
      <c r="DT5" s="468"/>
      <c r="DV5" s="481" t="s">
        <v>393</v>
      </c>
      <c r="DW5" s="481"/>
      <c r="DX5" s="481"/>
      <c r="DY5" s="481"/>
      <c r="DZ5" s="239"/>
      <c r="EE5" s="126"/>
      <c r="EF5" s="468" t="s">
        <v>416</v>
      </c>
      <c r="EG5" s="468"/>
      <c r="EH5" s="467" t="s">
        <v>423</v>
      </c>
      <c r="EI5" s="468"/>
      <c r="EJ5" s="468"/>
      <c r="EK5" s="468"/>
      <c r="EL5" s="468"/>
      <c r="EN5" s="481" t="s">
        <v>393</v>
      </c>
      <c r="EO5" s="481"/>
      <c r="EP5" s="481"/>
      <c r="EQ5" s="481"/>
      <c r="ER5" s="239"/>
      <c r="EY5" s="126"/>
      <c r="EZ5" s="468" t="s">
        <v>416</v>
      </c>
      <c r="FA5" s="468"/>
      <c r="FB5" s="467" t="s">
        <v>423</v>
      </c>
      <c r="FC5" s="468"/>
      <c r="FD5" s="468"/>
      <c r="FE5" s="468"/>
      <c r="FF5" s="468"/>
      <c r="FH5" s="481" t="s">
        <v>393</v>
      </c>
      <c r="FI5" s="481"/>
      <c r="FJ5" s="481"/>
      <c r="FK5" s="481"/>
      <c r="FL5" s="239"/>
      <c r="FS5" s="126"/>
      <c r="FT5" s="468" t="s">
        <v>416</v>
      </c>
      <c r="FU5" s="468"/>
      <c r="FV5" s="467" t="s">
        <v>423</v>
      </c>
      <c r="FW5" s="468"/>
      <c r="FX5" s="468"/>
      <c r="FY5" s="468"/>
      <c r="FZ5" s="468"/>
      <c r="GB5" s="481" t="s">
        <v>393</v>
      </c>
      <c r="GC5" s="481"/>
      <c r="GD5" s="481"/>
      <c r="GE5" s="481"/>
      <c r="GF5" s="239"/>
      <c r="GN5" s="126"/>
      <c r="GO5" s="468" t="s">
        <v>416</v>
      </c>
      <c r="GP5" s="468"/>
      <c r="GQ5" s="467" t="s">
        <v>423</v>
      </c>
      <c r="GR5" s="468"/>
      <c r="GS5" s="468"/>
      <c r="GT5" s="468"/>
      <c r="GU5" s="468"/>
      <c r="GW5" s="481" t="s">
        <v>393</v>
      </c>
      <c r="GX5" s="481"/>
      <c r="GY5" s="481"/>
      <c r="GZ5" s="481"/>
      <c r="HA5" s="239"/>
    </row>
    <row r="6" spans="3:209" ht="15.75" customHeight="1">
      <c r="C6" s="538">
        <v>1453048</v>
      </c>
      <c r="D6" s="538"/>
      <c r="F6" s="534">
        <v>1452967</v>
      </c>
      <c r="G6" s="534"/>
      <c r="I6" s="534">
        <v>1452987</v>
      </c>
      <c r="J6" s="534"/>
      <c r="L6" s="534">
        <v>13864</v>
      </c>
      <c r="M6" s="534"/>
      <c r="O6" s="540"/>
      <c r="P6" s="540"/>
      <c r="X6" s="126"/>
      <c r="Y6" s="187" t="s">
        <v>411</v>
      </c>
      <c r="Z6" s="187" t="s">
        <v>358</v>
      </c>
      <c r="AA6" s="468"/>
      <c r="AB6" s="468"/>
      <c r="AC6" s="468"/>
      <c r="AD6" s="468"/>
      <c r="AE6" s="468"/>
      <c r="AG6" s="154" t="s">
        <v>383</v>
      </c>
      <c r="AH6" s="155" t="s">
        <v>298</v>
      </c>
      <c r="AI6" s="155" t="s">
        <v>392</v>
      </c>
      <c r="AJ6" s="155" t="s">
        <v>300</v>
      </c>
      <c r="AK6" s="239"/>
      <c r="AO6" s="126"/>
      <c r="AP6" s="187" t="s">
        <v>411</v>
      </c>
      <c r="AQ6" s="187" t="s">
        <v>358</v>
      </c>
      <c r="AR6" s="468"/>
      <c r="AS6" s="468"/>
      <c r="AT6" s="468"/>
      <c r="AU6" s="468"/>
      <c r="AV6" s="468"/>
      <c r="AX6" s="154" t="s">
        <v>383</v>
      </c>
      <c r="AY6" s="155" t="s">
        <v>298</v>
      </c>
      <c r="AZ6" s="155" t="s">
        <v>392</v>
      </c>
      <c r="BA6" s="155" t="s">
        <v>300</v>
      </c>
      <c r="BB6" s="239"/>
      <c r="BG6" s="126"/>
      <c r="BH6" s="187" t="s">
        <v>411</v>
      </c>
      <c r="BI6" s="187" t="s">
        <v>358</v>
      </c>
      <c r="BJ6" s="468"/>
      <c r="BK6" s="468"/>
      <c r="BL6" s="468"/>
      <c r="BM6" s="468"/>
      <c r="BN6" s="468"/>
      <c r="BP6" s="154" t="s">
        <v>383</v>
      </c>
      <c r="BQ6" s="155" t="s">
        <v>298</v>
      </c>
      <c r="BR6" s="155" t="s">
        <v>392</v>
      </c>
      <c r="BS6" s="155" t="s">
        <v>300</v>
      </c>
      <c r="BT6" s="239"/>
      <c r="BY6" s="126"/>
      <c r="BZ6" s="187" t="s">
        <v>411</v>
      </c>
      <c r="CA6" s="187" t="s">
        <v>358</v>
      </c>
      <c r="CB6" s="468"/>
      <c r="CC6" s="468"/>
      <c r="CD6" s="468"/>
      <c r="CE6" s="468"/>
      <c r="CF6" s="468"/>
      <c r="CH6" s="154" t="s">
        <v>383</v>
      </c>
      <c r="CI6" s="155" t="s">
        <v>298</v>
      </c>
      <c r="CJ6" s="155" t="s">
        <v>392</v>
      </c>
      <c r="CK6" s="155" t="s">
        <v>300</v>
      </c>
      <c r="CL6" s="239"/>
      <c r="CS6" s="126"/>
      <c r="CT6" s="187" t="s">
        <v>411</v>
      </c>
      <c r="CU6" s="187" t="s">
        <v>358</v>
      </c>
      <c r="CV6" s="468"/>
      <c r="CW6" s="468"/>
      <c r="CX6" s="468"/>
      <c r="CY6" s="468"/>
      <c r="CZ6" s="468"/>
      <c r="DB6" s="154" t="s">
        <v>383</v>
      </c>
      <c r="DC6" s="155" t="s">
        <v>298</v>
      </c>
      <c r="DD6" s="155" t="s">
        <v>392</v>
      </c>
      <c r="DE6" s="155" t="s">
        <v>300</v>
      </c>
      <c r="DF6" s="239"/>
      <c r="DM6" s="126"/>
      <c r="DN6" s="187" t="s">
        <v>411</v>
      </c>
      <c r="DO6" s="187" t="s">
        <v>358</v>
      </c>
      <c r="DP6" s="468"/>
      <c r="DQ6" s="468"/>
      <c r="DR6" s="468"/>
      <c r="DS6" s="468"/>
      <c r="DT6" s="468"/>
      <c r="DV6" s="154" t="s">
        <v>383</v>
      </c>
      <c r="DW6" s="155" t="s">
        <v>298</v>
      </c>
      <c r="DX6" s="155" t="s">
        <v>392</v>
      </c>
      <c r="DY6" s="155" t="s">
        <v>300</v>
      </c>
      <c r="DZ6" s="239"/>
      <c r="EE6" s="126"/>
      <c r="EF6" s="187" t="s">
        <v>411</v>
      </c>
      <c r="EG6" s="187" t="s">
        <v>358</v>
      </c>
      <c r="EH6" s="468"/>
      <c r="EI6" s="468"/>
      <c r="EJ6" s="468"/>
      <c r="EK6" s="468"/>
      <c r="EL6" s="468"/>
      <c r="EN6" s="154" t="s">
        <v>383</v>
      </c>
      <c r="EO6" s="155" t="s">
        <v>298</v>
      </c>
      <c r="EP6" s="155" t="s">
        <v>392</v>
      </c>
      <c r="EQ6" s="155" t="s">
        <v>300</v>
      </c>
      <c r="ER6" s="239"/>
      <c r="EY6" s="126"/>
      <c r="EZ6" s="187" t="s">
        <v>411</v>
      </c>
      <c r="FA6" s="187" t="s">
        <v>358</v>
      </c>
      <c r="FB6" s="468"/>
      <c r="FC6" s="468"/>
      <c r="FD6" s="468"/>
      <c r="FE6" s="468"/>
      <c r="FF6" s="468"/>
      <c r="FH6" s="154" t="s">
        <v>383</v>
      </c>
      <c r="FI6" s="155" t="s">
        <v>298</v>
      </c>
      <c r="FJ6" s="155" t="s">
        <v>392</v>
      </c>
      <c r="FK6" s="155" t="s">
        <v>300</v>
      </c>
      <c r="FL6" s="239"/>
      <c r="FS6" s="126"/>
      <c r="FT6" s="187" t="s">
        <v>411</v>
      </c>
      <c r="FU6" s="187" t="s">
        <v>358</v>
      </c>
      <c r="FV6" s="468"/>
      <c r="FW6" s="468"/>
      <c r="FX6" s="468"/>
      <c r="FY6" s="468"/>
      <c r="FZ6" s="468"/>
      <c r="GB6" s="154" t="s">
        <v>383</v>
      </c>
      <c r="GC6" s="155" t="s">
        <v>298</v>
      </c>
      <c r="GD6" s="155" t="s">
        <v>392</v>
      </c>
      <c r="GE6" s="155" t="s">
        <v>300</v>
      </c>
      <c r="GF6" s="239"/>
      <c r="GN6" s="126"/>
      <c r="GO6" s="187" t="s">
        <v>411</v>
      </c>
      <c r="GP6" s="187" t="s">
        <v>358</v>
      </c>
      <c r="GQ6" s="468"/>
      <c r="GR6" s="468"/>
      <c r="GS6" s="468"/>
      <c r="GT6" s="468"/>
      <c r="GU6" s="468"/>
      <c r="GW6" s="154" t="s">
        <v>383</v>
      </c>
      <c r="GX6" s="155" t="s">
        <v>298</v>
      </c>
      <c r="GY6" s="155" t="s">
        <v>392</v>
      </c>
      <c r="GZ6" s="155" t="s">
        <v>300</v>
      </c>
      <c r="HA6" s="239"/>
    </row>
    <row r="7" spans="3:209" ht="15" customHeight="1">
      <c r="C7" s="538"/>
      <c r="D7" s="538"/>
      <c r="F7" s="534"/>
      <c r="G7" s="534"/>
      <c r="I7" s="534"/>
      <c r="J7" s="534"/>
      <c r="L7" s="534"/>
      <c r="M7" s="534"/>
      <c r="O7" s="540"/>
      <c r="P7" s="540"/>
      <c r="X7" s="126"/>
      <c r="Y7" s="172">
        <v>8358715</v>
      </c>
      <c r="Z7" s="172" t="s">
        <v>447</v>
      </c>
      <c r="AA7" s="62" t="s">
        <v>278</v>
      </c>
      <c r="AB7" s="477" t="s">
        <v>278</v>
      </c>
      <c r="AC7" s="477"/>
      <c r="AD7" s="523" t="s">
        <v>278</v>
      </c>
      <c r="AE7" s="502"/>
      <c r="AG7" s="64">
        <v>101</v>
      </c>
      <c r="AH7" s="64">
        <v>65</v>
      </c>
      <c r="AI7" s="64">
        <v>22</v>
      </c>
      <c r="AJ7" s="236">
        <v>14</v>
      </c>
      <c r="AK7" s="239"/>
      <c r="AO7" s="126"/>
      <c r="AP7" s="172">
        <v>1453048</v>
      </c>
      <c r="AQ7" s="172" t="s">
        <v>447</v>
      </c>
      <c r="AR7" s="62">
        <v>7936519</v>
      </c>
      <c r="AS7" s="477" t="s">
        <v>278</v>
      </c>
      <c r="AT7" s="477"/>
      <c r="AU7" s="523" t="s">
        <v>278</v>
      </c>
      <c r="AV7" s="502"/>
      <c r="AX7" s="64">
        <v>98</v>
      </c>
      <c r="AY7" s="64">
        <v>65</v>
      </c>
      <c r="AZ7" s="64">
        <v>22</v>
      </c>
      <c r="BA7" s="236">
        <v>11</v>
      </c>
      <c r="BB7" s="239"/>
      <c r="BG7" s="126"/>
      <c r="BH7" s="172">
        <v>1452801</v>
      </c>
      <c r="BI7" s="172" t="s">
        <v>447</v>
      </c>
      <c r="BJ7" s="62">
        <v>7936503</v>
      </c>
      <c r="BK7" s="477" t="s">
        <v>278</v>
      </c>
      <c r="BL7" s="477"/>
      <c r="BM7" s="523" t="s">
        <v>278</v>
      </c>
      <c r="BN7" s="502"/>
      <c r="BP7" s="64">
        <v>101</v>
      </c>
      <c r="BQ7" s="64">
        <v>65</v>
      </c>
      <c r="BR7" s="64">
        <v>22</v>
      </c>
      <c r="BS7" s="236">
        <v>14</v>
      </c>
      <c r="BT7" s="239"/>
      <c r="BY7" s="126"/>
      <c r="BZ7" s="172">
        <v>1452969</v>
      </c>
      <c r="CA7" s="172" t="s">
        <v>447</v>
      </c>
      <c r="CB7" s="62">
        <v>1015710</v>
      </c>
      <c r="CC7" s="477" t="s">
        <v>278</v>
      </c>
      <c r="CD7" s="477"/>
      <c r="CE7" s="523" t="s">
        <v>278</v>
      </c>
      <c r="CF7" s="502"/>
      <c r="CH7" s="64">
        <f>SUM(CI7:CK7)</f>
        <v>99</v>
      </c>
      <c r="CI7" s="64">
        <v>65</v>
      </c>
      <c r="CJ7" s="64">
        <v>22</v>
      </c>
      <c r="CK7" s="236">
        <v>12</v>
      </c>
      <c r="CL7" s="239"/>
      <c r="CS7" s="126"/>
      <c r="CT7" s="172">
        <v>1452967</v>
      </c>
      <c r="CU7" s="172" t="s">
        <v>447</v>
      </c>
      <c r="CV7" s="62">
        <v>7936525</v>
      </c>
      <c r="CW7" s="477" t="s">
        <v>278</v>
      </c>
      <c r="CX7" s="477"/>
      <c r="CY7" s="523" t="s">
        <v>278</v>
      </c>
      <c r="CZ7" s="502"/>
      <c r="DB7" s="64">
        <v>101</v>
      </c>
      <c r="DC7" s="64">
        <v>65</v>
      </c>
      <c r="DD7" s="64">
        <v>22</v>
      </c>
      <c r="DE7" s="236">
        <v>14</v>
      </c>
      <c r="DF7" s="239"/>
      <c r="DM7" s="126"/>
      <c r="DN7" s="172">
        <v>9504711</v>
      </c>
      <c r="DO7" s="172" t="s">
        <v>447</v>
      </c>
      <c r="DP7" s="62">
        <v>1454330</v>
      </c>
      <c r="DQ7" s="477" t="s">
        <v>278</v>
      </c>
      <c r="DR7" s="477"/>
      <c r="DS7" s="523" t="s">
        <v>278</v>
      </c>
      <c r="DT7" s="502"/>
      <c r="DV7" s="64">
        <f>SUM(DW7:DY7)</f>
        <v>100</v>
      </c>
      <c r="DW7" s="64">
        <v>65</v>
      </c>
      <c r="DX7" s="64">
        <v>22</v>
      </c>
      <c r="DY7" s="236">
        <v>13</v>
      </c>
      <c r="DZ7" s="239"/>
      <c r="EE7" s="126"/>
      <c r="EF7" s="172">
        <v>1452987</v>
      </c>
      <c r="EG7" s="172" t="s">
        <v>447</v>
      </c>
      <c r="EH7" s="62">
        <v>1655881</v>
      </c>
      <c r="EI7" s="477" t="s">
        <v>278</v>
      </c>
      <c r="EJ7" s="477"/>
      <c r="EK7" s="523" t="s">
        <v>278</v>
      </c>
      <c r="EL7" s="502"/>
      <c r="EN7" s="64">
        <v>100</v>
      </c>
      <c r="EO7" s="64">
        <f>EN7*65%</f>
        <v>65</v>
      </c>
      <c r="EP7" s="64">
        <f>EN7*22%</f>
        <v>22</v>
      </c>
      <c r="EQ7" s="236">
        <f>EN7*13%</f>
        <v>13</v>
      </c>
      <c r="ER7" s="239"/>
      <c r="EY7" s="126"/>
      <c r="EZ7" s="172">
        <v>6572286</v>
      </c>
      <c r="FA7" s="172" t="s">
        <v>447</v>
      </c>
      <c r="FB7" s="62" t="s">
        <v>278</v>
      </c>
      <c r="FC7" s="477" t="s">
        <v>278</v>
      </c>
      <c r="FD7" s="477"/>
      <c r="FE7" s="523" t="s">
        <v>278</v>
      </c>
      <c r="FF7" s="502"/>
      <c r="FH7" s="64">
        <v>101</v>
      </c>
      <c r="FI7" s="64">
        <v>65</v>
      </c>
      <c r="FJ7" s="64">
        <v>22</v>
      </c>
      <c r="FK7" s="236">
        <v>14</v>
      </c>
      <c r="FL7" s="239"/>
      <c r="FS7" s="126"/>
      <c r="FT7" s="172">
        <v>1452971</v>
      </c>
      <c r="FU7" s="172" t="s">
        <v>447</v>
      </c>
      <c r="FV7" s="62">
        <v>2078450</v>
      </c>
      <c r="FW7" s="477" t="s">
        <v>278</v>
      </c>
      <c r="FX7" s="477"/>
      <c r="FY7" s="523" t="s">
        <v>278</v>
      </c>
      <c r="FZ7" s="502"/>
      <c r="GB7" s="64">
        <f>SUM(GC7:GE7)</f>
        <v>102</v>
      </c>
      <c r="GC7" s="64">
        <v>65</v>
      </c>
      <c r="GD7" s="64">
        <v>22</v>
      </c>
      <c r="GE7" s="236">
        <v>15</v>
      </c>
      <c r="GF7" s="239"/>
      <c r="GN7" s="126"/>
      <c r="GO7" s="172">
        <v>13864</v>
      </c>
      <c r="GP7" s="172" t="s">
        <v>447</v>
      </c>
      <c r="GQ7" s="62">
        <v>2078450</v>
      </c>
      <c r="GR7" s="477" t="s">
        <v>278</v>
      </c>
      <c r="GS7" s="477"/>
      <c r="GT7" s="523" t="s">
        <v>278</v>
      </c>
      <c r="GU7" s="502"/>
      <c r="GW7" s="64">
        <v>100</v>
      </c>
      <c r="GX7" s="64">
        <f>GW7*65%</f>
        <v>65</v>
      </c>
      <c r="GY7" s="64">
        <f>GW7*22%</f>
        <v>22</v>
      </c>
      <c r="GZ7" s="236">
        <f>GW7*13%</f>
        <v>13</v>
      </c>
      <c r="HA7" s="239"/>
    </row>
    <row r="8" spans="3:209" ht="15" customHeight="1">
      <c r="C8" s="534">
        <v>7636519</v>
      </c>
      <c r="D8" s="534"/>
      <c r="F8" s="534">
        <v>7936525</v>
      </c>
      <c r="G8" s="534"/>
      <c r="I8" s="534">
        <v>1655881</v>
      </c>
      <c r="J8" s="534"/>
      <c r="L8" s="250"/>
      <c r="M8" s="250"/>
      <c r="O8" s="540"/>
      <c r="P8" s="540"/>
      <c r="X8" s="126"/>
      <c r="Y8" s="172"/>
      <c r="Z8" s="172"/>
      <c r="AA8" s="62"/>
      <c r="AB8" s="477"/>
      <c r="AC8" s="477"/>
      <c r="AD8" s="523"/>
      <c r="AE8" s="502"/>
      <c r="AG8" s="237">
        <v>202</v>
      </c>
      <c r="AH8" s="237">
        <v>130</v>
      </c>
      <c r="AI8" s="237">
        <v>44</v>
      </c>
      <c r="AJ8" s="238">
        <v>28</v>
      </c>
      <c r="AK8" s="239"/>
      <c r="AO8" s="126"/>
      <c r="AP8" s="172"/>
      <c r="AQ8" s="172"/>
      <c r="AR8" s="62"/>
      <c r="AS8" s="477"/>
      <c r="AT8" s="477"/>
      <c r="AU8" s="523"/>
      <c r="AV8" s="502"/>
      <c r="AX8" s="237">
        <v>196</v>
      </c>
      <c r="AY8" s="237">
        <v>130</v>
      </c>
      <c r="AZ8" s="237">
        <v>44</v>
      </c>
      <c r="BA8" s="238">
        <v>22</v>
      </c>
      <c r="BB8" s="239"/>
      <c r="BG8" s="126"/>
      <c r="BH8" s="172"/>
      <c r="BI8" s="172"/>
      <c r="BJ8" s="62"/>
      <c r="BK8" s="477"/>
      <c r="BL8" s="477"/>
      <c r="BM8" s="523"/>
      <c r="BN8" s="502"/>
      <c r="BP8" s="237">
        <v>202</v>
      </c>
      <c r="BQ8" s="237">
        <v>130</v>
      </c>
      <c r="BR8" s="237">
        <v>44</v>
      </c>
      <c r="BS8" s="238">
        <v>28</v>
      </c>
      <c r="BT8" s="239"/>
      <c r="BY8" s="126"/>
      <c r="BZ8" s="172"/>
      <c r="CA8" s="172"/>
      <c r="CB8" s="62"/>
      <c r="CC8" s="477"/>
      <c r="CD8" s="477"/>
      <c r="CE8" s="523"/>
      <c r="CF8" s="502"/>
      <c r="CH8" s="64">
        <f t="shared" ref="CH8:CH16" si="0">SUM(CI8:CK8)</f>
        <v>198</v>
      </c>
      <c r="CI8" s="237">
        <v>130</v>
      </c>
      <c r="CJ8" s="237">
        <v>44</v>
      </c>
      <c r="CK8" s="238">
        <v>24</v>
      </c>
      <c r="CL8" s="239"/>
      <c r="CS8" s="126"/>
      <c r="CT8" s="172"/>
      <c r="CU8" s="172"/>
      <c r="CV8" s="62"/>
      <c r="CW8" s="477"/>
      <c r="CX8" s="477"/>
      <c r="CY8" s="523"/>
      <c r="CZ8" s="502"/>
      <c r="DB8" s="237">
        <v>202</v>
      </c>
      <c r="DC8" s="237">
        <v>130</v>
      </c>
      <c r="DD8" s="237">
        <v>44</v>
      </c>
      <c r="DE8" s="238">
        <v>28</v>
      </c>
      <c r="DF8" s="239"/>
      <c r="DM8" s="126"/>
      <c r="DN8" s="172">
        <v>1453033</v>
      </c>
      <c r="DO8" s="172" t="s">
        <v>447</v>
      </c>
      <c r="DP8" s="62"/>
      <c r="DQ8" s="477"/>
      <c r="DR8" s="477"/>
      <c r="DS8" s="523"/>
      <c r="DT8" s="502"/>
      <c r="DV8" s="64">
        <f t="shared" ref="DV8:DV16" si="1">SUM(DW8:DY8)</f>
        <v>200</v>
      </c>
      <c r="DW8" s="237">
        <v>130</v>
      </c>
      <c r="DX8" s="237">
        <v>44</v>
      </c>
      <c r="DY8" s="238">
        <v>26</v>
      </c>
      <c r="DZ8" s="239"/>
      <c r="EE8" s="126"/>
      <c r="EF8" s="172"/>
      <c r="EG8" s="172"/>
      <c r="EH8" s="62"/>
      <c r="EI8" s="477"/>
      <c r="EJ8" s="477"/>
      <c r="EK8" s="523"/>
      <c r="EL8" s="502"/>
      <c r="EN8" s="237">
        <v>200</v>
      </c>
      <c r="EO8" s="64">
        <f t="shared" ref="EO8:EO16" si="2">EN8*65%</f>
        <v>130</v>
      </c>
      <c r="EP8" s="64">
        <f t="shared" ref="EP8:EP16" si="3">EN8*22%</f>
        <v>44</v>
      </c>
      <c r="EQ8" s="236">
        <f t="shared" ref="EQ8:EQ16" si="4">EN8*13%</f>
        <v>26</v>
      </c>
      <c r="ER8" s="239"/>
      <c r="EY8" s="126"/>
      <c r="EZ8" s="172"/>
      <c r="FA8" s="172"/>
      <c r="FB8" s="62"/>
      <c r="FC8" s="477"/>
      <c r="FD8" s="477"/>
      <c r="FE8" s="523"/>
      <c r="FF8" s="502"/>
      <c r="FH8" s="237">
        <v>202</v>
      </c>
      <c r="FI8" s="237">
        <v>130</v>
      </c>
      <c r="FJ8" s="237">
        <v>44</v>
      </c>
      <c r="FK8" s="238">
        <v>28</v>
      </c>
      <c r="FL8" s="239"/>
      <c r="FS8" s="126"/>
      <c r="FT8" s="172"/>
      <c r="FU8" s="172"/>
      <c r="FV8" s="62"/>
      <c r="FW8" s="477"/>
      <c r="FX8" s="477"/>
      <c r="FY8" s="523"/>
      <c r="FZ8" s="502"/>
      <c r="GB8" s="64">
        <f t="shared" ref="GB8:GB16" si="5">SUM(GC8:GE8)</f>
        <v>204</v>
      </c>
      <c r="GC8" s="237">
        <v>130</v>
      </c>
      <c r="GD8" s="237">
        <v>44</v>
      </c>
      <c r="GE8" s="238">
        <v>30</v>
      </c>
      <c r="GF8" s="239"/>
      <c r="GN8" s="126"/>
      <c r="GO8" s="172">
        <v>1727779</v>
      </c>
      <c r="GP8" s="172" t="s">
        <v>447</v>
      </c>
      <c r="GQ8" s="62" t="s">
        <v>278</v>
      </c>
      <c r="GR8" s="477"/>
      <c r="GS8" s="477"/>
      <c r="GT8" s="523"/>
      <c r="GU8" s="502"/>
      <c r="GW8" s="237">
        <v>200</v>
      </c>
      <c r="GX8" s="64">
        <f t="shared" ref="GX8:GX16" si="6">GW8*65%</f>
        <v>130</v>
      </c>
      <c r="GY8" s="64">
        <f t="shared" ref="GY8:GY16" si="7">GW8*22%</f>
        <v>44</v>
      </c>
      <c r="GZ8" s="236">
        <f t="shared" ref="GZ8:GZ16" si="8">GW8*13%</f>
        <v>26</v>
      </c>
      <c r="HA8" s="239"/>
    </row>
    <row r="9" spans="3:209" ht="15" customHeight="1">
      <c r="C9" s="534"/>
      <c r="D9" s="534"/>
      <c r="F9" s="534"/>
      <c r="G9" s="534"/>
      <c r="I9" s="534"/>
      <c r="J9" s="534"/>
      <c r="L9" s="250"/>
      <c r="M9" s="250"/>
      <c r="O9" s="540"/>
      <c r="P9" s="540"/>
      <c r="X9" s="126"/>
      <c r="Y9" s="172"/>
      <c r="Z9" s="172"/>
      <c r="AA9" s="62"/>
      <c r="AB9" s="523"/>
      <c r="AC9" s="502"/>
      <c r="AD9" s="477"/>
      <c r="AE9" s="477"/>
      <c r="AG9" s="64">
        <v>303</v>
      </c>
      <c r="AH9" s="64">
        <v>195</v>
      </c>
      <c r="AI9" s="64">
        <v>66</v>
      </c>
      <c r="AJ9" s="236">
        <v>42</v>
      </c>
      <c r="AK9" s="239"/>
      <c r="AO9" s="126"/>
      <c r="AP9" s="172"/>
      <c r="AQ9" s="172"/>
      <c r="AR9" s="62"/>
      <c r="AS9" s="523"/>
      <c r="AT9" s="502"/>
      <c r="AU9" s="477"/>
      <c r="AV9" s="477"/>
      <c r="AX9" s="64">
        <v>294</v>
      </c>
      <c r="AY9" s="64">
        <v>195</v>
      </c>
      <c r="AZ9" s="64">
        <v>66</v>
      </c>
      <c r="BA9" s="236">
        <v>33</v>
      </c>
      <c r="BB9" s="239"/>
      <c r="BG9" s="126"/>
      <c r="BH9" s="172"/>
      <c r="BI9" s="172"/>
      <c r="BJ9" s="62"/>
      <c r="BK9" s="523"/>
      <c r="BL9" s="502"/>
      <c r="BM9" s="477"/>
      <c r="BN9" s="477"/>
      <c r="BP9" s="64">
        <v>303</v>
      </c>
      <c r="BQ9" s="64">
        <v>195</v>
      </c>
      <c r="BR9" s="64">
        <v>66</v>
      </c>
      <c r="BS9" s="236">
        <v>42</v>
      </c>
      <c r="BT9" s="239"/>
      <c r="BY9" s="126"/>
      <c r="BZ9" s="172"/>
      <c r="CA9" s="172"/>
      <c r="CB9" s="62"/>
      <c r="CC9" s="523"/>
      <c r="CD9" s="502"/>
      <c r="CE9" s="477"/>
      <c r="CF9" s="477"/>
      <c r="CH9" s="64">
        <f>SUM(CI9:CK9)</f>
        <v>297</v>
      </c>
      <c r="CI9" s="64">
        <v>195</v>
      </c>
      <c r="CJ9" s="64">
        <v>66</v>
      </c>
      <c r="CK9" s="236">
        <v>36</v>
      </c>
      <c r="CL9" s="239"/>
      <c r="CS9" s="126"/>
      <c r="CT9" s="172"/>
      <c r="CU9" s="172"/>
      <c r="CV9" s="62"/>
      <c r="CW9" s="523"/>
      <c r="CX9" s="502"/>
      <c r="CY9" s="477"/>
      <c r="CZ9" s="477"/>
      <c r="DA9" s="293"/>
      <c r="DB9" s="294">
        <v>303</v>
      </c>
      <c r="DC9" s="294">
        <v>195</v>
      </c>
      <c r="DD9" s="294">
        <v>66</v>
      </c>
      <c r="DE9" s="295">
        <v>42</v>
      </c>
      <c r="DF9" s="239"/>
      <c r="DM9" s="126"/>
      <c r="DN9" s="172"/>
      <c r="DO9" s="172"/>
      <c r="DP9" s="62"/>
      <c r="DQ9" s="523"/>
      <c r="DR9" s="502"/>
      <c r="DS9" s="477"/>
      <c r="DT9" s="477"/>
      <c r="DV9" s="64">
        <f t="shared" si="1"/>
        <v>300</v>
      </c>
      <c r="DW9" s="64">
        <v>195</v>
      </c>
      <c r="DX9" s="64">
        <v>66</v>
      </c>
      <c r="DY9" s="236">
        <v>39</v>
      </c>
      <c r="DZ9" s="239"/>
      <c r="EE9" s="126"/>
      <c r="EF9" s="172"/>
      <c r="EG9" s="172"/>
      <c r="EH9" s="62"/>
      <c r="EI9" s="523"/>
      <c r="EJ9" s="502"/>
      <c r="EK9" s="477"/>
      <c r="EL9" s="477"/>
      <c r="EN9" s="64">
        <v>300</v>
      </c>
      <c r="EO9" s="64">
        <f t="shared" si="2"/>
        <v>195</v>
      </c>
      <c r="EP9" s="64">
        <f t="shared" si="3"/>
        <v>66</v>
      </c>
      <c r="EQ9" s="236">
        <f t="shared" si="4"/>
        <v>39</v>
      </c>
      <c r="ER9" s="239"/>
      <c r="EY9" s="126"/>
      <c r="EZ9" s="172"/>
      <c r="FA9" s="172"/>
      <c r="FB9" s="62"/>
      <c r="FC9" s="523"/>
      <c r="FD9" s="502"/>
      <c r="FE9" s="477"/>
      <c r="FF9" s="477"/>
      <c r="FH9" s="64">
        <v>303</v>
      </c>
      <c r="FI9" s="64">
        <v>195</v>
      </c>
      <c r="FJ9" s="64">
        <v>66</v>
      </c>
      <c r="FK9" s="236">
        <v>42</v>
      </c>
      <c r="FL9" s="239"/>
      <c r="FS9" s="126"/>
      <c r="FT9" s="172"/>
      <c r="FU9" s="172"/>
      <c r="FV9" s="62"/>
      <c r="FW9" s="523"/>
      <c r="FX9" s="502"/>
      <c r="FY9" s="477"/>
      <c r="FZ9" s="477"/>
      <c r="GB9" s="64">
        <f t="shared" si="5"/>
        <v>306</v>
      </c>
      <c r="GC9" s="64">
        <v>195</v>
      </c>
      <c r="GD9" s="64">
        <v>66</v>
      </c>
      <c r="GE9" s="236">
        <v>45</v>
      </c>
      <c r="GF9" s="239"/>
      <c r="GN9" s="126"/>
      <c r="GO9" s="172">
        <v>1455401</v>
      </c>
      <c r="GP9" s="172" t="s">
        <v>447</v>
      </c>
      <c r="GQ9" s="62">
        <v>9521032</v>
      </c>
      <c r="GR9" s="523"/>
      <c r="GS9" s="502"/>
      <c r="GT9" s="477"/>
      <c r="GU9" s="477"/>
      <c r="GW9" s="64">
        <v>300</v>
      </c>
      <c r="GX9" s="64">
        <f t="shared" si="6"/>
        <v>195</v>
      </c>
      <c r="GY9" s="64">
        <f t="shared" si="7"/>
        <v>66</v>
      </c>
      <c r="GZ9" s="236">
        <f t="shared" si="8"/>
        <v>39</v>
      </c>
      <c r="HA9" s="239"/>
    </row>
    <row r="10" spans="3:209" ht="15" customHeight="1">
      <c r="O10" s="540"/>
      <c r="P10" s="540"/>
      <c r="X10" s="126"/>
      <c r="AD10" s="59"/>
      <c r="AE10" s="128"/>
      <c r="AF10" s="128"/>
      <c r="AG10" s="237">
        <v>404</v>
      </c>
      <c r="AH10" s="237">
        <v>260</v>
      </c>
      <c r="AI10" s="237">
        <v>88</v>
      </c>
      <c r="AJ10" s="238">
        <v>56</v>
      </c>
      <c r="AK10" s="239"/>
      <c r="AO10" s="126"/>
      <c r="AS10" s="60"/>
      <c r="AT10" s="60"/>
      <c r="AV10" s="128"/>
      <c r="AW10" s="128" t="s">
        <v>309</v>
      </c>
      <c r="AX10" s="237">
        <v>392</v>
      </c>
      <c r="AY10" s="237">
        <v>260</v>
      </c>
      <c r="AZ10" s="237">
        <v>88</v>
      </c>
      <c r="BA10" s="238">
        <v>44</v>
      </c>
      <c r="BB10" s="239"/>
      <c r="BG10" s="126"/>
      <c r="BK10" s="60"/>
      <c r="BL10" s="60"/>
      <c r="BN10" s="128"/>
      <c r="BO10" s="128"/>
      <c r="BP10" s="237">
        <v>404</v>
      </c>
      <c r="BQ10" s="237">
        <v>260</v>
      </c>
      <c r="BR10" s="237">
        <v>88</v>
      </c>
      <c r="BS10" s="238">
        <v>56</v>
      </c>
      <c r="BT10" s="239"/>
      <c r="BY10" s="126"/>
      <c r="CC10" s="60"/>
      <c r="CD10" s="60"/>
      <c r="CF10" s="128"/>
      <c r="CG10" s="128"/>
      <c r="CH10" s="64">
        <f t="shared" si="0"/>
        <v>396</v>
      </c>
      <c r="CI10" s="237">
        <v>260</v>
      </c>
      <c r="CJ10" s="237">
        <v>88</v>
      </c>
      <c r="CK10" s="238">
        <v>48</v>
      </c>
      <c r="CL10" s="239"/>
      <c r="CS10" s="126"/>
      <c r="CW10" s="60"/>
      <c r="CX10" s="60"/>
      <c r="CZ10" s="128"/>
      <c r="DA10" s="128"/>
      <c r="DB10" s="237">
        <v>404</v>
      </c>
      <c r="DC10" s="237">
        <v>260</v>
      </c>
      <c r="DD10" s="237">
        <v>88</v>
      </c>
      <c r="DE10" s="238">
        <v>56</v>
      </c>
      <c r="DF10" s="239"/>
      <c r="DM10" s="126"/>
      <c r="DQ10" s="60"/>
      <c r="DR10" s="60"/>
      <c r="DT10" s="128"/>
      <c r="DU10" s="128"/>
      <c r="DV10" s="64">
        <f t="shared" si="1"/>
        <v>400</v>
      </c>
      <c r="DW10" s="237">
        <v>260</v>
      </c>
      <c r="DX10" s="237">
        <v>88</v>
      </c>
      <c r="DY10" s="238">
        <v>52</v>
      </c>
      <c r="DZ10" s="239"/>
      <c r="EE10" s="126"/>
      <c r="EI10" s="60"/>
      <c r="EJ10" s="60"/>
      <c r="EL10" s="128"/>
      <c r="EM10" s="128"/>
      <c r="EN10" s="237">
        <v>400</v>
      </c>
      <c r="EO10" s="64">
        <f t="shared" si="2"/>
        <v>260</v>
      </c>
      <c r="EP10" s="64">
        <f t="shared" si="3"/>
        <v>88</v>
      </c>
      <c r="EQ10" s="236">
        <f t="shared" si="4"/>
        <v>52</v>
      </c>
      <c r="ER10" s="239"/>
      <c r="EY10" s="126"/>
      <c r="FC10" s="60"/>
      <c r="FD10" s="60"/>
      <c r="FF10" s="128"/>
      <c r="FG10" s="128"/>
      <c r="FH10" s="237">
        <v>404</v>
      </c>
      <c r="FI10" s="237">
        <v>260</v>
      </c>
      <c r="FJ10" s="237">
        <v>88</v>
      </c>
      <c r="FK10" s="238">
        <v>56</v>
      </c>
      <c r="FL10" s="239"/>
      <c r="FS10" s="126"/>
      <c r="FW10" s="60"/>
      <c r="FX10" s="60"/>
      <c r="FZ10" s="128"/>
      <c r="GA10" s="128"/>
      <c r="GB10" s="64">
        <f t="shared" si="5"/>
        <v>408</v>
      </c>
      <c r="GC10" s="237">
        <v>260</v>
      </c>
      <c r="GD10" s="237">
        <v>88</v>
      </c>
      <c r="GE10" s="238">
        <v>60</v>
      </c>
      <c r="GF10" s="239"/>
      <c r="GN10" s="126"/>
      <c r="GO10" s="172">
        <v>3840515</v>
      </c>
      <c r="GP10" s="172" t="s">
        <v>447</v>
      </c>
      <c r="GQ10" s="62" t="s">
        <v>278</v>
      </c>
      <c r="GR10" s="523"/>
      <c r="GS10" s="502"/>
      <c r="GT10" s="523"/>
      <c r="GU10" s="502"/>
      <c r="GV10" s="128"/>
      <c r="GW10" s="237">
        <v>400</v>
      </c>
      <c r="GX10" s="64">
        <f t="shared" si="6"/>
        <v>260</v>
      </c>
      <c r="GY10" s="64">
        <f t="shared" si="7"/>
        <v>88</v>
      </c>
      <c r="GZ10" s="236">
        <f t="shared" si="8"/>
        <v>52</v>
      </c>
      <c r="HA10" s="239"/>
    </row>
    <row r="11" spans="3:209" ht="15" customHeight="1">
      <c r="C11" s="534">
        <v>1452801</v>
      </c>
      <c r="D11" s="534"/>
      <c r="F11" s="534">
        <v>1452971</v>
      </c>
      <c r="G11" s="534"/>
      <c r="I11" s="534">
        <v>8358715</v>
      </c>
      <c r="J11" s="534"/>
      <c r="L11" s="534">
        <v>1455401</v>
      </c>
      <c r="M11" s="534"/>
      <c r="O11" s="540"/>
      <c r="P11" s="540"/>
      <c r="X11" s="126"/>
      <c r="Y11" s="443" t="s">
        <v>366</v>
      </c>
      <c r="Z11" s="443"/>
      <c r="AA11" s="447" t="s">
        <v>412</v>
      </c>
      <c r="AB11" s="447"/>
      <c r="AC11" s="173"/>
      <c r="AE11" s="128"/>
      <c r="AF11" s="128"/>
      <c r="AG11" s="64">
        <v>505</v>
      </c>
      <c r="AH11" s="64">
        <v>325</v>
      </c>
      <c r="AI11" s="64">
        <v>110</v>
      </c>
      <c r="AJ11" s="236">
        <v>70</v>
      </c>
      <c r="AK11" s="239"/>
      <c r="AO11" s="126"/>
      <c r="AP11" s="443" t="s">
        <v>366</v>
      </c>
      <c r="AQ11" s="443"/>
      <c r="AR11" s="447" t="s">
        <v>412</v>
      </c>
      <c r="AS11" s="447"/>
      <c r="AT11" s="173"/>
      <c r="AU11" s="60"/>
      <c r="AV11" s="128"/>
      <c r="AW11" s="128"/>
      <c r="AX11" s="64">
        <v>490</v>
      </c>
      <c r="AY11" s="64">
        <v>325</v>
      </c>
      <c r="AZ11" s="64">
        <v>110</v>
      </c>
      <c r="BA11" s="236">
        <v>55</v>
      </c>
      <c r="BB11" s="239"/>
      <c r="BG11" s="126"/>
      <c r="BH11" s="443" t="s">
        <v>366</v>
      </c>
      <c r="BI11" s="443"/>
      <c r="BJ11" s="447" t="s">
        <v>412</v>
      </c>
      <c r="BK11" s="447"/>
      <c r="BL11" s="173"/>
      <c r="BM11" s="60"/>
      <c r="BN11" s="128"/>
      <c r="BO11" s="128"/>
      <c r="BP11" s="64">
        <v>505</v>
      </c>
      <c r="BQ11" s="64">
        <v>325</v>
      </c>
      <c r="BR11" s="64">
        <v>110</v>
      </c>
      <c r="BS11" s="236">
        <v>70</v>
      </c>
      <c r="BT11" s="239"/>
      <c r="BY11" s="126"/>
      <c r="BZ11" s="443" t="s">
        <v>366</v>
      </c>
      <c r="CA11" s="443"/>
      <c r="CB11" s="447" t="s">
        <v>412</v>
      </c>
      <c r="CC11" s="447"/>
      <c r="CD11" s="173"/>
      <c r="CE11" s="60"/>
      <c r="CF11" s="128"/>
      <c r="CG11" s="128"/>
      <c r="CH11" s="64">
        <f t="shared" si="0"/>
        <v>485</v>
      </c>
      <c r="CI11" s="64">
        <v>325</v>
      </c>
      <c r="CJ11" s="64">
        <v>110</v>
      </c>
      <c r="CK11" s="236">
        <v>50</v>
      </c>
      <c r="CL11" s="239"/>
      <c r="CS11" s="126"/>
      <c r="CT11" s="443" t="s">
        <v>366</v>
      </c>
      <c r="CU11" s="443"/>
      <c r="CV11" s="447" t="s">
        <v>412</v>
      </c>
      <c r="CW11" s="447"/>
      <c r="CX11" s="173"/>
      <c r="CY11" s="60"/>
      <c r="CZ11" s="128"/>
      <c r="DA11" s="128"/>
      <c r="DB11" s="64">
        <v>505</v>
      </c>
      <c r="DC11" s="64">
        <v>325</v>
      </c>
      <c r="DD11" s="64">
        <v>110</v>
      </c>
      <c r="DE11" s="236">
        <v>70</v>
      </c>
      <c r="DF11" s="239"/>
      <c r="DM11" s="126"/>
      <c r="DN11" s="443" t="s">
        <v>366</v>
      </c>
      <c r="DO11" s="443"/>
      <c r="DP11" s="447" t="s">
        <v>412</v>
      </c>
      <c r="DQ11" s="447"/>
      <c r="DR11" s="173"/>
      <c r="DS11" s="60"/>
      <c r="DT11" s="128"/>
      <c r="DU11" s="128"/>
      <c r="DV11" s="64">
        <f t="shared" si="1"/>
        <v>500</v>
      </c>
      <c r="DW11" s="64">
        <v>325</v>
      </c>
      <c r="DX11" s="64">
        <v>110</v>
      </c>
      <c r="DY11" s="236">
        <v>65</v>
      </c>
      <c r="DZ11" s="239"/>
      <c r="EE11" s="126"/>
      <c r="EF11" s="443" t="s">
        <v>366</v>
      </c>
      <c r="EG11" s="443"/>
      <c r="EH11" s="447" t="s">
        <v>412</v>
      </c>
      <c r="EI11" s="447"/>
      <c r="EJ11" s="173"/>
      <c r="EK11" s="60"/>
      <c r="EL11" s="128"/>
      <c r="EM11" s="128"/>
      <c r="EN11" s="64">
        <v>500</v>
      </c>
      <c r="EO11" s="64">
        <f t="shared" si="2"/>
        <v>325</v>
      </c>
      <c r="EP11" s="64">
        <f t="shared" si="3"/>
        <v>110</v>
      </c>
      <c r="EQ11" s="236">
        <f t="shared" si="4"/>
        <v>65</v>
      </c>
      <c r="ER11" s="239"/>
      <c r="EY11" s="126"/>
      <c r="EZ11" s="443" t="s">
        <v>366</v>
      </c>
      <c r="FA11" s="443"/>
      <c r="FB11" s="447" t="s">
        <v>412</v>
      </c>
      <c r="FC11" s="447"/>
      <c r="FD11" s="173"/>
      <c r="FE11" s="60"/>
      <c r="FF11" s="128"/>
      <c r="FG11" s="128"/>
      <c r="FH11" s="64">
        <v>505</v>
      </c>
      <c r="FI11" s="64">
        <v>325</v>
      </c>
      <c r="FJ11" s="64">
        <v>110</v>
      </c>
      <c r="FK11" s="236">
        <v>70</v>
      </c>
      <c r="FL11" s="239"/>
      <c r="FS11" s="126"/>
      <c r="FT11" s="443" t="s">
        <v>366</v>
      </c>
      <c r="FU11" s="443"/>
      <c r="FV11" s="447" t="s">
        <v>412</v>
      </c>
      <c r="FW11" s="447"/>
      <c r="FX11" s="173"/>
      <c r="FY11" s="60"/>
      <c r="FZ11" s="128"/>
      <c r="GA11" s="128"/>
      <c r="GB11" s="64">
        <f t="shared" si="5"/>
        <v>510</v>
      </c>
      <c r="GC11" s="64">
        <v>325</v>
      </c>
      <c r="GD11" s="64">
        <v>110</v>
      </c>
      <c r="GE11" s="236">
        <v>75</v>
      </c>
      <c r="GF11" s="239"/>
      <c r="GN11" s="126"/>
      <c r="GR11" s="60"/>
      <c r="GS11" s="60"/>
      <c r="GU11" s="128"/>
      <c r="GV11" s="128"/>
      <c r="GW11" s="64">
        <v>500</v>
      </c>
      <c r="GX11" s="64">
        <f t="shared" si="6"/>
        <v>325</v>
      </c>
      <c r="GY11" s="64">
        <f t="shared" si="7"/>
        <v>110</v>
      </c>
      <c r="GZ11" s="236">
        <f t="shared" si="8"/>
        <v>65</v>
      </c>
      <c r="HA11" s="239"/>
    </row>
    <row r="12" spans="3:209" ht="15" customHeight="1">
      <c r="C12" s="534"/>
      <c r="D12" s="534"/>
      <c r="F12" s="534"/>
      <c r="G12" s="534"/>
      <c r="I12" s="534"/>
      <c r="J12" s="534"/>
      <c r="L12" s="534"/>
      <c r="M12" s="534"/>
      <c r="O12" s="540"/>
      <c r="P12" s="540"/>
      <c r="X12" s="126"/>
      <c r="Y12" s="443" t="s">
        <v>356</v>
      </c>
      <c r="Z12" s="443"/>
      <c r="AA12" s="444" t="s">
        <v>417</v>
      </c>
      <c r="AB12" s="444"/>
      <c r="AC12" s="132"/>
      <c r="AD12" s="127"/>
      <c r="AE12" s="128"/>
      <c r="AF12" s="128"/>
      <c r="AG12" s="237">
        <v>606</v>
      </c>
      <c r="AH12" s="237">
        <v>390</v>
      </c>
      <c r="AI12" s="237">
        <v>132</v>
      </c>
      <c r="AJ12" s="238">
        <v>84</v>
      </c>
      <c r="AK12" s="239"/>
      <c r="AO12" s="126"/>
      <c r="AP12" s="443" t="s">
        <v>356</v>
      </c>
      <c r="AQ12" s="443"/>
      <c r="AR12" s="444" t="s">
        <v>417</v>
      </c>
      <c r="AS12" s="444"/>
      <c r="AT12" s="132"/>
      <c r="AU12" s="127"/>
      <c r="AV12" s="128"/>
      <c r="AW12" s="128"/>
      <c r="AX12" s="237">
        <v>588</v>
      </c>
      <c r="AY12" s="237">
        <v>390</v>
      </c>
      <c r="AZ12" s="237">
        <v>132</v>
      </c>
      <c r="BA12" s="238">
        <v>66</v>
      </c>
      <c r="BB12" s="239"/>
      <c r="BG12" s="126"/>
      <c r="BH12" s="443" t="s">
        <v>356</v>
      </c>
      <c r="BI12" s="443"/>
      <c r="BJ12" s="444" t="s">
        <v>417</v>
      </c>
      <c r="BK12" s="444"/>
      <c r="BL12" s="132"/>
      <c r="BM12" s="127"/>
      <c r="BN12" s="128"/>
      <c r="BO12" s="128"/>
      <c r="BP12" s="237">
        <v>606</v>
      </c>
      <c r="BQ12" s="237">
        <v>390</v>
      </c>
      <c r="BR12" s="237">
        <v>132</v>
      </c>
      <c r="BS12" s="238">
        <v>84</v>
      </c>
      <c r="BT12" s="239"/>
      <c r="BY12" s="126"/>
      <c r="BZ12" s="443" t="s">
        <v>356</v>
      </c>
      <c r="CA12" s="443"/>
      <c r="CB12" s="444" t="s">
        <v>417</v>
      </c>
      <c r="CC12" s="444"/>
      <c r="CD12" s="132"/>
      <c r="CE12" s="127"/>
      <c r="CF12" s="128"/>
      <c r="CG12" s="128"/>
      <c r="CH12" s="64">
        <f t="shared" si="0"/>
        <v>584</v>
      </c>
      <c r="CI12" s="237">
        <v>390</v>
      </c>
      <c r="CJ12" s="237">
        <v>132</v>
      </c>
      <c r="CK12" s="238">
        <v>62</v>
      </c>
      <c r="CL12" s="239"/>
      <c r="CS12" s="126"/>
      <c r="CT12" s="443" t="s">
        <v>356</v>
      </c>
      <c r="CU12" s="443"/>
      <c r="CV12" s="444" t="s">
        <v>417</v>
      </c>
      <c r="CW12" s="444"/>
      <c r="CX12" s="132"/>
      <c r="CY12" s="127"/>
      <c r="CZ12" s="128"/>
      <c r="DA12" s="128"/>
      <c r="DB12" s="237">
        <v>606</v>
      </c>
      <c r="DC12" s="237">
        <v>390</v>
      </c>
      <c r="DD12" s="237">
        <v>132</v>
      </c>
      <c r="DE12" s="238">
        <v>84</v>
      </c>
      <c r="DF12" s="239"/>
      <c r="DM12" s="126"/>
      <c r="DN12" s="443" t="s">
        <v>356</v>
      </c>
      <c r="DO12" s="443"/>
      <c r="DP12" s="444" t="s">
        <v>417</v>
      </c>
      <c r="DQ12" s="444"/>
      <c r="DR12" s="132"/>
      <c r="DS12" s="127"/>
      <c r="DT12" s="128"/>
      <c r="DU12" s="128"/>
      <c r="DV12" s="64">
        <f t="shared" si="1"/>
        <v>600</v>
      </c>
      <c r="DW12" s="237">
        <v>390</v>
      </c>
      <c r="DX12" s="237">
        <v>132</v>
      </c>
      <c r="DY12" s="238">
        <v>78</v>
      </c>
      <c r="DZ12" s="239"/>
      <c r="EE12" s="126"/>
      <c r="EF12" s="443" t="s">
        <v>356</v>
      </c>
      <c r="EG12" s="443"/>
      <c r="EH12" s="444" t="s">
        <v>417</v>
      </c>
      <c r="EI12" s="444"/>
      <c r="EJ12" s="132"/>
      <c r="EK12" s="127"/>
      <c r="EL12" s="128"/>
      <c r="EM12" s="128"/>
      <c r="EN12" s="237">
        <v>600</v>
      </c>
      <c r="EO12" s="64">
        <f t="shared" si="2"/>
        <v>390</v>
      </c>
      <c r="EP12" s="64">
        <f t="shared" si="3"/>
        <v>132</v>
      </c>
      <c r="EQ12" s="236">
        <f t="shared" si="4"/>
        <v>78</v>
      </c>
      <c r="ER12" s="239"/>
      <c r="EY12" s="126"/>
      <c r="EZ12" s="443" t="s">
        <v>356</v>
      </c>
      <c r="FA12" s="443"/>
      <c r="FB12" s="444" t="s">
        <v>417</v>
      </c>
      <c r="FC12" s="444"/>
      <c r="FD12" s="132"/>
      <c r="FE12" s="127"/>
      <c r="FF12" s="128"/>
      <c r="FG12" s="128"/>
      <c r="FH12" s="237">
        <v>606</v>
      </c>
      <c r="FI12" s="237">
        <v>390</v>
      </c>
      <c r="FJ12" s="237">
        <v>132</v>
      </c>
      <c r="FK12" s="238">
        <v>84</v>
      </c>
      <c r="FL12" s="239"/>
      <c r="FS12" s="126"/>
      <c r="FT12" s="443" t="s">
        <v>356</v>
      </c>
      <c r="FU12" s="443"/>
      <c r="FV12" s="444" t="s">
        <v>417</v>
      </c>
      <c r="FW12" s="444"/>
      <c r="FX12" s="132"/>
      <c r="FY12" s="127"/>
      <c r="FZ12" s="128"/>
      <c r="GA12" s="128"/>
      <c r="GB12" s="64">
        <f t="shared" si="5"/>
        <v>612</v>
      </c>
      <c r="GC12" s="237">
        <v>390</v>
      </c>
      <c r="GD12" s="237">
        <v>132</v>
      </c>
      <c r="GE12" s="238">
        <v>90</v>
      </c>
      <c r="GF12" s="239"/>
      <c r="GN12" s="126"/>
      <c r="GO12" s="443" t="s">
        <v>366</v>
      </c>
      <c r="GP12" s="443"/>
      <c r="GQ12" s="447" t="s">
        <v>412</v>
      </c>
      <c r="GR12" s="447"/>
      <c r="GS12" s="173"/>
      <c r="GT12" s="60"/>
      <c r="GU12" s="128"/>
      <c r="GV12" s="128"/>
      <c r="GW12" s="237">
        <v>600</v>
      </c>
      <c r="GX12" s="64">
        <f t="shared" si="6"/>
        <v>390</v>
      </c>
      <c r="GY12" s="64">
        <f t="shared" si="7"/>
        <v>132</v>
      </c>
      <c r="GZ12" s="236">
        <f t="shared" si="8"/>
        <v>78</v>
      </c>
      <c r="HA12" s="239"/>
    </row>
    <row r="13" spans="3:209">
      <c r="C13" s="534">
        <v>7636503</v>
      </c>
      <c r="D13" s="534"/>
      <c r="F13" s="534">
        <v>2078450</v>
      </c>
      <c r="G13" s="534"/>
      <c r="I13" s="534"/>
      <c r="J13" s="534"/>
      <c r="L13" s="534">
        <v>9521032</v>
      </c>
      <c r="M13" s="534"/>
      <c r="O13" s="540"/>
      <c r="P13" s="540"/>
      <c r="X13" s="126"/>
      <c r="Y13" s="445" t="s">
        <v>395</v>
      </c>
      <c r="Z13" s="446"/>
      <c r="AA13" s="444" t="s">
        <v>401</v>
      </c>
      <c r="AB13" s="444"/>
      <c r="AC13" s="132"/>
      <c r="AD13" s="127"/>
      <c r="AE13" s="173"/>
      <c r="AF13" s="175"/>
      <c r="AG13" s="64">
        <v>707</v>
      </c>
      <c r="AH13" s="64">
        <v>455</v>
      </c>
      <c r="AI13" s="64">
        <v>154</v>
      </c>
      <c r="AJ13" s="236">
        <v>98</v>
      </c>
      <c r="AK13" s="239"/>
      <c r="AO13" s="126"/>
      <c r="AP13" s="445" t="s">
        <v>395</v>
      </c>
      <c r="AQ13" s="446"/>
      <c r="AR13" s="444" t="s">
        <v>401</v>
      </c>
      <c r="AS13" s="444"/>
      <c r="AT13" s="132"/>
      <c r="AU13" s="127"/>
      <c r="AV13" s="173"/>
      <c r="AW13" s="175"/>
      <c r="AX13" s="64">
        <v>686</v>
      </c>
      <c r="AY13" s="64">
        <v>455</v>
      </c>
      <c r="AZ13" s="64">
        <v>154</v>
      </c>
      <c r="BA13" s="236">
        <v>77</v>
      </c>
      <c r="BB13" s="239"/>
      <c r="BG13" s="126"/>
      <c r="BH13" s="445" t="s">
        <v>395</v>
      </c>
      <c r="BI13" s="446"/>
      <c r="BJ13" s="444" t="s">
        <v>401</v>
      </c>
      <c r="BK13" s="444"/>
      <c r="BL13" s="132"/>
      <c r="BM13" s="127"/>
      <c r="BN13" s="173"/>
      <c r="BO13" s="175"/>
      <c r="BP13" s="64">
        <v>707</v>
      </c>
      <c r="BQ13" s="64">
        <v>455</v>
      </c>
      <c r="BR13" s="64">
        <v>154</v>
      </c>
      <c r="BS13" s="236">
        <v>98</v>
      </c>
      <c r="BT13" s="239"/>
      <c r="BY13" s="126"/>
      <c r="BZ13" s="445" t="s">
        <v>395</v>
      </c>
      <c r="CA13" s="446"/>
      <c r="CB13" s="444" t="s">
        <v>401</v>
      </c>
      <c r="CC13" s="444"/>
      <c r="CD13" s="132"/>
      <c r="CE13" s="127"/>
      <c r="CF13" s="173"/>
      <c r="CG13" s="175"/>
      <c r="CH13" s="64">
        <f t="shared" si="0"/>
        <v>683</v>
      </c>
      <c r="CI13" s="64">
        <v>455</v>
      </c>
      <c r="CJ13" s="64">
        <v>154</v>
      </c>
      <c r="CK13" s="236">
        <v>74</v>
      </c>
      <c r="CL13" s="239"/>
      <c r="CS13" s="126"/>
      <c r="CT13" s="445" t="s">
        <v>395</v>
      </c>
      <c r="CU13" s="446"/>
      <c r="CV13" s="444" t="s">
        <v>401</v>
      </c>
      <c r="CW13" s="444"/>
      <c r="CX13" s="132"/>
      <c r="CY13" s="127"/>
      <c r="CZ13" s="173"/>
      <c r="DA13" s="175"/>
      <c r="DB13" s="64">
        <v>707</v>
      </c>
      <c r="DC13" s="64">
        <v>455</v>
      </c>
      <c r="DD13" s="64">
        <v>154</v>
      </c>
      <c r="DE13" s="236">
        <v>98</v>
      </c>
      <c r="DF13" s="239"/>
      <c r="DM13" s="126"/>
      <c r="DN13" s="445" t="s">
        <v>395</v>
      </c>
      <c r="DO13" s="446"/>
      <c r="DP13" s="444" t="s">
        <v>401</v>
      </c>
      <c r="DQ13" s="444"/>
      <c r="DR13" s="132"/>
      <c r="DS13" s="127"/>
      <c r="DT13" s="173"/>
      <c r="DU13" s="175"/>
      <c r="DV13" s="64">
        <f t="shared" si="1"/>
        <v>700</v>
      </c>
      <c r="DW13" s="64">
        <v>455</v>
      </c>
      <c r="DX13" s="64">
        <v>154</v>
      </c>
      <c r="DY13" s="236">
        <v>91</v>
      </c>
      <c r="DZ13" s="239"/>
      <c r="EE13" s="126"/>
      <c r="EF13" s="445" t="s">
        <v>395</v>
      </c>
      <c r="EG13" s="446"/>
      <c r="EH13" s="444" t="s">
        <v>401</v>
      </c>
      <c r="EI13" s="444"/>
      <c r="EJ13" s="132"/>
      <c r="EK13" s="127"/>
      <c r="EL13" s="173"/>
      <c r="EM13" s="175"/>
      <c r="EN13" s="64">
        <v>700</v>
      </c>
      <c r="EO13" s="64">
        <f t="shared" si="2"/>
        <v>455</v>
      </c>
      <c r="EP13" s="64">
        <f t="shared" si="3"/>
        <v>154</v>
      </c>
      <c r="EQ13" s="236">
        <f t="shared" si="4"/>
        <v>91</v>
      </c>
      <c r="ER13" s="239"/>
      <c r="EY13" s="126"/>
      <c r="EZ13" s="445" t="s">
        <v>395</v>
      </c>
      <c r="FA13" s="446"/>
      <c r="FB13" s="444" t="s">
        <v>401</v>
      </c>
      <c r="FC13" s="444"/>
      <c r="FD13" s="132"/>
      <c r="FE13" s="127"/>
      <c r="FF13" s="173"/>
      <c r="FG13" s="175"/>
      <c r="FH13" s="64">
        <v>707</v>
      </c>
      <c r="FI13" s="64">
        <v>455</v>
      </c>
      <c r="FJ13" s="64">
        <v>154</v>
      </c>
      <c r="FK13" s="236">
        <v>98</v>
      </c>
      <c r="FL13" s="239"/>
      <c r="FS13" s="126"/>
      <c r="FT13" s="445" t="s">
        <v>395</v>
      </c>
      <c r="FU13" s="446"/>
      <c r="FV13" s="444" t="s">
        <v>401</v>
      </c>
      <c r="FW13" s="444"/>
      <c r="FX13" s="132"/>
      <c r="FY13" s="127"/>
      <c r="FZ13" s="173"/>
      <c r="GA13" s="175"/>
      <c r="GB13" s="64">
        <f t="shared" si="5"/>
        <v>714</v>
      </c>
      <c r="GC13" s="64">
        <v>455</v>
      </c>
      <c r="GD13" s="64">
        <v>154</v>
      </c>
      <c r="GE13" s="236">
        <v>105</v>
      </c>
      <c r="GF13" s="239"/>
      <c r="GN13" s="126"/>
      <c r="GO13" s="443" t="s">
        <v>356</v>
      </c>
      <c r="GP13" s="443"/>
      <c r="GQ13" s="444" t="s">
        <v>417</v>
      </c>
      <c r="GR13" s="444"/>
      <c r="GS13" s="132"/>
      <c r="GT13" s="127"/>
      <c r="GU13" s="128"/>
      <c r="GV13" s="175"/>
      <c r="GW13" s="64">
        <v>700</v>
      </c>
      <c r="GX13" s="64">
        <f t="shared" si="6"/>
        <v>455</v>
      </c>
      <c r="GY13" s="64">
        <f t="shared" si="7"/>
        <v>154</v>
      </c>
      <c r="GZ13" s="236">
        <f t="shared" si="8"/>
        <v>91</v>
      </c>
      <c r="HA13" s="239"/>
    </row>
    <row r="14" spans="3:209">
      <c r="C14" s="534"/>
      <c r="D14" s="534"/>
      <c r="F14" s="534"/>
      <c r="G14" s="534"/>
      <c r="I14" s="534"/>
      <c r="J14" s="534"/>
      <c r="L14" s="534"/>
      <c r="M14" s="534"/>
      <c r="O14" s="540"/>
      <c r="P14" s="540"/>
      <c r="X14" s="126"/>
      <c r="AD14" s="173"/>
      <c r="AE14" s="196"/>
      <c r="AF14" s="173"/>
      <c r="AG14" s="237">
        <v>808</v>
      </c>
      <c r="AH14" s="237">
        <v>520</v>
      </c>
      <c r="AI14" s="237">
        <v>176</v>
      </c>
      <c r="AJ14" s="238">
        <v>112</v>
      </c>
      <c r="AK14" s="239"/>
      <c r="AO14" s="126"/>
      <c r="AS14" s="60"/>
      <c r="AT14" s="60"/>
      <c r="AU14" s="173"/>
      <c r="AV14" s="196"/>
      <c r="AW14" s="173"/>
      <c r="AX14" s="237">
        <v>784</v>
      </c>
      <c r="AY14" s="237">
        <v>520</v>
      </c>
      <c r="AZ14" s="237">
        <v>176</v>
      </c>
      <c r="BA14" s="238">
        <v>88</v>
      </c>
      <c r="BB14" s="239"/>
      <c r="BG14" s="126"/>
      <c r="BK14" s="60"/>
      <c r="BL14" s="60"/>
      <c r="BM14" s="173"/>
      <c r="BN14" s="196"/>
      <c r="BO14" s="173"/>
      <c r="BP14" s="237">
        <v>808</v>
      </c>
      <c r="BQ14" s="237">
        <v>520</v>
      </c>
      <c r="BR14" s="237">
        <v>176</v>
      </c>
      <c r="BS14" s="238">
        <v>112</v>
      </c>
      <c r="BT14" s="239"/>
      <c r="BY14" s="126"/>
      <c r="CC14" s="60"/>
      <c r="CD14" s="60"/>
      <c r="CE14" s="173"/>
      <c r="CF14" s="196"/>
      <c r="CG14" s="173"/>
      <c r="CH14" s="64">
        <f t="shared" si="0"/>
        <v>782</v>
      </c>
      <c r="CI14" s="237">
        <v>520</v>
      </c>
      <c r="CJ14" s="237">
        <v>176</v>
      </c>
      <c r="CK14" s="238">
        <v>86</v>
      </c>
      <c r="CL14" s="239"/>
      <c r="CS14" s="126"/>
      <c r="CW14" s="60"/>
      <c r="CX14" s="60"/>
      <c r="CY14" s="173"/>
      <c r="CZ14" s="196"/>
      <c r="DA14" s="173"/>
      <c r="DB14" s="237">
        <v>808</v>
      </c>
      <c r="DC14" s="237">
        <v>520</v>
      </c>
      <c r="DD14" s="237">
        <v>176</v>
      </c>
      <c r="DE14" s="238">
        <v>112</v>
      </c>
      <c r="DF14" s="239"/>
      <c r="DM14" s="126"/>
      <c r="DQ14" s="60"/>
      <c r="DR14" s="60"/>
      <c r="DS14" s="173"/>
      <c r="DT14" s="196"/>
      <c r="DU14" s="173"/>
      <c r="DV14" s="64">
        <f t="shared" si="1"/>
        <v>800</v>
      </c>
      <c r="DW14" s="237">
        <v>520</v>
      </c>
      <c r="DX14" s="237">
        <v>176</v>
      </c>
      <c r="DY14" s="238">
        <v>104</v>
      </c>
      <c r="DZ14" s="239"/>
      <c r="EE14" s="126"/>
      <c r="EI14" s="60"/>
      <c r="EJ14" s="60"/>
      <c r="EK14" s="173"/>
      <c r="EL14" s="196"/>
      <c r="EM14" s="173"/>
      <c r="EN14" s="237">
        <v>800</v>
      </c>
      <c r="EO14" s="64">
        <f t="shared" si="2"/>
        <v>520</v>
      </c>
      <c r="EP14" s="64">
        <f t="shared" si="3"/>
        <v>176</v>
      </c>
      <c r="EQ14" s="236">
        <f t="shared" si="4"/>
        <v>104</v>
      </c>
      <c r="ER14" s="239"/>
      <c r="EY14" s="126"/>
      <c r="FC14" s="60"/>
      <c r="FD14" s="60"/>
      <c r="FE14" s="173"/>
      <c r="FF14" s="196"/>
      <c r="FG14" s="173"/>
      <c r="FH14" s="237">
        <v>808</v>
      </c>
      <c r="FI14" s="237">
        <v>520</v>
      </c>
      <c r="FJ14" s="237">
        <v>176</v>
      </c>
      <c r="FK14" s="238">
        <v>112</v>
      </c>
      <c r="FL14" s="239"/>
      <c r="FS14" s="126"/>
      <c r="FW14" s="60"/>
      <c r="FX14" s="60"/>
      <c r="FY14" s="173"/>
      <c r="FZ14" s="196"/>
      <c r="GA14" s="173"/>
      <c r="GB14" s="64">
        <f t="shared" si="5"/>
        <v>816</v>
      </c>
      <c r="GC14" s="237">
        <v>520</v>
      </c>
      <c r="GD14" s="237">
        <v>176</v>
      </c>
      <c r="GE14" s="238">
        <v>120</v>
      </c>
      <c r="GF14" s="239"/>
      <c r="GN14" s="126"/>
      <c r="GO14" s="445" t="s">
        <v>395</v>
      </c>
      <c r="GP14" s="446"/>
      <c r="GQ14" s="444" t="s">
        <v>401</v>
      </c>
      <c r="GR14" s="444"/>
      <c r="GS14" s="132"/>
      <c r="GT14" s="127"/>
      <c r="GU14" s="173"/>
      <c r="GV14" s="173"/>
      <c r="GW14" s="237">
        <v>800</v>
      </c>
      <c r="GX14" s="64">
        <f t="shared" si="6"/>
        <v>520</v>
      </c>
      <c r="GY14" s="64">
        <f t="shared" si="7"/>
        <v>176</v>
      </c>
      <c r="GZ14" s="236">
        <f t="shared" si="8"/>
        <v>104</v>
      </c>
      <c r="HA14" s="239"/>
    </row>
    <row r="15" spans="3:209">
      <c r="O15" s="540"/>
      <c r="P15" s="540"/>
      <c r="X15" s="126"/>
      <c r="AD15" s="196"/>
      <c r="AE15" s="175"/>
      <c r="AF15" s="132"/>
      <c r="AG15" s="64">
        <v>909</v>
      </c>
      <c r="AH15" s="64">
        <v>585</v>
      </c>
      <c r="AI15" s="64">
        <v>198</v>
      </c>
      <c r="AJ15" s="236">
        <v>126</v>
      </c>
      <c r="AK15" s="239"/>
      <c r="AO15" s="126"/>
      <c r="AS15" s="60"/>
      <c r="AT15" s="60"/>
      <c r="AU15" s="196"/>
      <c r="AV15" s="175"/>
      <c r="AW15" s="132"/>
      <c r="AX15" s="64">
        <v>882</v>
      </c>
      <c r="AY15" s="64">
        <v>585</v>
      </c>
      <c r="AZ15" s="64">
        <v>198</v>
      </c>
      <c r="BA15" s="236">
        <v>99</v>
      </c>
      <c r="BB15" s="239"/>
      <c r="BG15" s="126"/>
      <c r="BK15" s="60"/>
      <c r="BL15" s="60"/>
      <c r="BM15" s="196"/>
      <c r="BN15" s="175"/>
      <c r="BO15" s="132"/>
      <c r="BP15" s="64">
        <v>909</v>
      </c>
      <c r="BQ15" s="64">
        <v>585</v>
      </c>
      <c r="BR15" s="64">
        <v>198</v>
      </c>
      <c r="BS15" s="236">
        <v>126</v>
      </c>
      <c r="BT15" s="239"/>
      <c r="BY15" s="126"/>
      <c r="CC15" s="60"/>
      <c r="CD15" s="60"/>
      <c r="CE15" s="196"/>
      <c r="CF15" s="175"/>
      <c r="CG15" s="132"/>
      <c r="CH15" s="64">
        <f t="shared" si="0"/>
        <v>881</v>
      </c>
      <c r="CI15" s="64">
        <v>585</v>
      </c>
      <c r="CJ15" s="64">
        <v>198</v>
      </c>
      <c r="CK15" s="236">
        <v>98</v>
      </c>
      <c r="CL15" s="239"/>
      <c r="CS15" s="126"/>
      <c r="CW15" s="60"/>
      <c r="CX15" s="60"/>
      <c r="CY15" s="196"/>
      <c r="CZ15" s="175"/>
      <c r="DA15" s="132"/>
      <c r="DB15" s="64">
        <v>909</v>
      </c>
      <c r="DC15" s="64">
        <v>585</v>
      </c>
      <c r="DD15" s="64">
        <v>198</v>
      </c>
      <c r="DE15" s="236">
        <v>126</v>
      </c>
      <c r="DF15" s="239"/>
      <c r="DM15" s="126"/>
      <c r="DQ15" s="60"/>
      <c r="DR15" s="60"/>
      <c r="DS15" s="196"/>
      <c r="DT15" s="175"/>
      <c r="DU15" s="132"/>
      <c r="DV15" s="64">
        <f t="shared" si="1"/>
        <v>900</v>
      </c>
      <c r="DW15" s="64">
        <v>585</v>
      </c>
      <c r="DX15" s="64">
        <v>198</v>
      </c>
      <c r="DY15" s="236">
        <v>117</v>
      </c>
      <c r="DZ15" s="239"/>
      <c r="EE15" s="126"/>
      <c r="EI15" s="60"/>
      <c r="EJ15" s="60"/>
      <c r="EK15" s="196"/>
      <c r="EL15" s="175"/>
      <c r="EM15" s="132"/>
      <c r="EN15" s="64">
        <v>900</v>
      </c>
      <c r="EO15" s="64">
        <f t="shared" si="2"/>
        <v>585</v>
      </c>
      <c r="EP15" s="64">
        <f t="shared" si="3"/>
        <v>198</v>
      </c>
      <c r="EQ15" s="236">
        <f t="shared" si="4"/>
        <v>117</v>
      </c>
      <c r="ER15" s="239"/>
      <c r="EY15" s="126"/>
      <c r="FC15" s="60"/>
      <c r="FD15" s="60"/>
      <c r="FE15" s="196"/>
      <c r="FF15" s="175"/>
      <c r="FG15" s="132"/>
      <c r="FH15" s="64">
        <v>909</v>
      </c>
      <c r="FI15" s="64">
        <v>585</v>
      </c>
      <c r="FJ15" s="64">
        <v>198</v>
      </c>
      <c r="FK15" s="236">
        <v>126</v>
      </c>
      <c r="FL15" s="239"/>
      <c r="FS15" s="126"/>
      <c r="FW15" s="60"/>
      <c r="FX15" s="60"/>
      <c r="FY15" s="196"/>
      <c r="FZ15" s="175"/>
      <c r="GA15" s="132"/>
      <c r="GB15" s="64">
        <f t="shared" si="5"/>
        <v>918</v>
      </c>
      <c r="GC15" s="64">
        <v>585</v>
      </c>
      <c r="GD15" s="64">
        <v>198</v>
      </c>
      <c r="GE15" s="236">
        <v>135</v>
      </c>
      <c r="GF15" s="239"/>
      <c r="GN15" s="126"/>
      <c r="GR15" s="60"/>
      <c r="GS15" s="60"/>
      <c r="GT15" s="173"/>
      <c r="GU15" s="196"/>
      <c r="GV15" s="132"/>
      <c r="GW15" s="64">
        <v>900</v>
      </c>
      <c r="GX15" s="64">
        <f t="shared" si="6"/>
        <v>585</v>
      </c>
      <c r="GY15" s="64">
        <f t="shared" si="7"/>
        <v>198</v>
      </c>
      <c r="GZ15" s="236">
        <f t="shared" si="8"/>
        <v>117</v>
      </c>
      <c r="HA15" s="239"/>
    </row>
    <row r="16" spans="3:209">
      <c r="C16" s="534">
        <v>1452969</v>
      </c>
      <c r="D16" s="534"/>
      <c r="F16" s="534">
        <v>9504711</v>
      </c>
      <c r="G16" s="534"/>
      <c r="I16" s="534">
        <v>6572286</v>
      </c>
      <c r="J16" s="534"/>
      <c r="L16" s="534">
        <v>1727779</v>
      </c>
      <c r="M16" s="534"/>
      <c r="O16" s="540"/>
      <c r="P16" s="540"/>
      <c r="X16" s="126"/>
      <c r="AD16" s="175"/>
      <c r="AE16" s="132"/>
      <c r="AF16" s="132"/>
      <c r="AG16" s="237">
        <v>1010</v>
      </c>
      <c r="AH16" s="237">
        <v>650</v>
      </c>
      <c r="AI16" s="237">
        <v>220</v>
      </c>
      <c r="AJ16" s="238">
        <v>140</v>
      </c>
      <c r="AK16" s="239"/>
      <c r="AO16" s="126"/>
      <c r="AS16" s="60"/>
      <c r="AT16" s="60"/>
      <c r="AU16" s="175"/>
      <c r="AV16" s="132"/>
      <c r="AW16" s="132"/>
      <c r="AX16" s="237">
        <v>980</v>
      </c>
      <c r="AY16" s="237">
        <v>650</v>
      </c>
      <c r="AZ16" s="237">
        <v>220</v>
      </c>
      <c r="BA16" s="238">
        <v>110</v>
      </c>
      <c r="BB16" s="239"/>
      <c r="BG16" s="126"/>
      <c r="BK16" s="60"/>
      <c r="BL16" s="60"/>
      <c r="BM16" s="175"/>
      <c r="BN16" s="132"/>
      <c r="BO16" s="132"/>
      <c r="BP16" s="237">
        <v>1010</v>
      </c>
      <c r="BQ16" s="237">
        <v>650</v>
      </c>
      <c r="BR16" s="237">
        <v>220</v>
      </c>
      <c r="BS16" s="238">
        <v>140</v>
      </c>
      <c r="BT16" s="239"/>
      <c r="BY16" s="126"/>
      <c r="CC16" s="60"/>
      <c r="CD16" s="60"/>
      <c r="CE16" s="175"/>
      <c r="CF16" s="132"/>
      <c r="CG16" s="132"/>
      <c r="CH16" s="64">
        <f t="shared" si="0"/>
        <v>980</v>
      </c>
      <c r="CI16" s="237">
        <v>650</v>
      </c>
      <c r="CJ16" s="237">
        <v>220</v>
      </c>
      <c r="CK16" s="238">
        <v>110</v>
      </c>
      <c r="CL16" s="239"/>
      <c r="CS16" s="126"/>
      <c r="CW16" s="60"/>
      <c r="CX16" s="60"/>
      <c r="CY16" s="175"/>
      <c r="CZ16" s="132"/>
      <c r="DA16" s="132"/>
      <c r="DB16" s="237">
        <v>1010</v>
      </c>
      <c r="DC16" s="237">
        <v>650</v>
      </c>
      <c r="DD16" s="237">
        <v>220</v>
      </c>
      <c r="DE16" s="238">
        <v>140</v>
      </c>
      <c r="DF16" s="239"/>
      <c r="DM16" s="126"/>
      <c r="DQ16" s="60"/>
      <c r="DR16" s="60"/>
      <c r="DS16" s="175"/>
      <c r="DT16" s="132"/>
      <c r="DU16" s="132"/>
      <c r="DV16" s="64">
        <f t="shared" si="1"/>
        <v>1000</v>
      </c>
      <c r="DW16" s="237">
        <v>650</v>
      </c>
      <c r="DX16" s="237">
        <v>220</v>
      </c>
      <c r="DY16" s="238">
        <v>130</v>
      </c>
      <c r="DZ16" s="239"/>
      <c r="EE16" s="126"/>
      <c r="EI16" s="60"/>
      <c r="EJ16" s="60"/>
      <c r="EK16" s="175"/>
      <c r="EL16" s="132"/>
      <c r="EM16" s="132"/>
      <c r="EN16" s="237">
        <v>1000</v>
      </c>
      <c r="EO16" s="64">
        <f t="shared" si="2"/>
        <v>650</v>
      </c>
      <c r="EP16" s="64">
        <f t="shared" si="3"/>
        <v>220</v>
      </c>
      <c r="EQ16" s="236">
        <f t="shared" si="4"/>
        <v>130</v>
      </c>
      <c r="ER16" s="239"/>
      <c r="EY16" s="126"/>
      <c r="FC16" s="60"/>
      <c r="FD16" s="60"/>
      <c r="FE16" s="175"/>
      <c r="FF16" s="132"/>
      <c r="FG16" s="132"/>
      <c r="FH16" s="237">
        <v>1010</v>
      </c>
      <c r="FI16" s="237">
        <v>650</v>
      </c>
      <c r="FJ16" s="237">
        <v>220</v>
      </c>
      <c r="FK16" s="238">
        <v>140</v>
      </c>
      <c r="FL16" s="239"/>
      <c r="FS16" s="126"/>
      <c r="FW16" s="60"/>
      <c r="FX16" s="60"/>
      <c r="FY16" s="175"/>
      <c r="FZ16" s="132"/>
      <c r="GA16" s="132"/>
      <c r="GB16" s="64">
        <f t="shared" si="5"/>
        <v>1020</v>
      </c>
      <c r="GC16" s="237">
        <v>650</v>
      </c>
      <c r="GD16" s="237">
        <v>220</v>
      </c>
      <c r="GE16" s="238">
        <v>150</v>
      </c>
      <c r="GF16" s="239"/>
      <c r="GN16" s="126"/>
      <c r="GR16" s="60"/>
      <c r="GS16" s="60"/>
      <c r="GT16" s="196"/>
      <c r="GU16" s="175"/>
      <c r="GV16" s="132"/>
      <c r="GW16" s="237">
        <v>1000</v>
      </c>
      <c r="GX16" s="64">
        <f t="shared" si="6"/>
        <v>650</v>
      </c>
      <c r="GY16" s="64">
        <f t="shared" si="7"/>
        <v>220</v>
      </c>
      <c r="GZ16" s="236">
        <f t="shared" si="8"/>
        <v>130</v>
      </c>
      <c r="HA16" s="239"/>
    </row>
    <row r="17" spans="1:209">
      <c r="C17" s="534"/>
      <c r="D17" s="534"/>
      <c r="F17" s="534"/>
      <c r="G17" s="534"/>
      <c r="I17" s="534"/>
      <c r="J17" s="534"/>
      <c r="L17" s="534"/>
      <c r="M17" s="534"/>
      <c r="O17" s="540"/>
      <c r="P17" s="540"/>
      <c r="X17" s="126"/>
      <c r="AC17" s="132"/>
      <c r="AD17" s="132"/>
      <c r="AE17" s="65"/>
      <c r="AF17" s="65"/>
      <c r="AK17" s="239"/>
      <c r="AO17" s="126"/>
      <c r="AS17" s="60"/>
      <c r="AT17" s="132"/>
      <c r="AU17" s="132"/>
      <c r="AV17" s="65"/>
      <c r="AW17" s="65"/>
      <c r="AY17" s="60"/>
      <c r="AZ17" s="60"/>
      <c r="BA17" s="60"/>
      <c r="BB17" s="239"/>
      <c r="BG17" s="126"/>
      <c r="BK17" s="60"/>
      <c r="BL17" s="132"/>
      <c r="BM17" s="132"/>
      <c r="BN17" s="65"/>
      <c r="BO17" s="65"/>
      <c r="BQ17" s="60"/>
      <c r="BR17" s="60"/>
      <c r="BS17" s="60"/>
      <c r="BT17" s="239"/>
      <c r="BY17" s="126"/>
      <c r="CC17" s="60"/>
      <c r="CD17" s="132"/>
      <c r="CE17" s="132"/>
      <c r="CF17" s="65"/>
      <c r="CG17" s="65"/>
      <c r="CI17" s="60"/>
      <c r="CJ17" s="60"/>
      <c r="CK17" s="60"/>
      <c r="CL17" s="239"/>
      <c r="CS17" s="126"/>
      <c r="CW17" s="60"/>
      <c r="CX17" s="132"/>
      <c r="CY17" s="132"/>
      <c r="CZ17" s="65"/>
      <c r="DA17" s="65"/>
      <c r="DC17" s="60"/>
      <c r="DD17" s="60"/>
      <c r="DE17" s="60"/>
      <c r="DF17" s="239"/>
      <c r="DM17" s="126"/>
      <c r="DQ17" s="60"/>
      <c r="DR17" s="132"/>
      <c r="DS17" s="132"/>
      <c r="DT17" s="65"/>
      <c r="DU17" s="65"/>
      <c r="DW17" s="60"/>
      <c r="DX17" s="60"/>
      <c r="DY17" s="60"/>
      <c r="DZ17" s="239"/>
      <c r="EE17" s="126"/>
      <c r="EI17" s="60"/>
      <c r="EJ17" s="132"/>
      <c r="EK17" s="132"/>
      <c r="EL17" s="65"/>
      <c r="EM17" s="65"/>
      <c r="EO17" s="60"/>
      <c r="EP17" s="60"/>
      <c r="EQ17" s="60"/>
      <c r="ER17" s="239"/>
      <c r="EY17" s="126"/>
      <c r="FC17" s="60"/>
      <c r="FD17" s="132"/>
      <c r="FE17" s="132"/>
      <c r="FF17" s="65"/>
      <c r="FG17" s="65"/>
      <c r="FI17" s="60"/>
      <c r="FJ17" s="60"/>
      <c r="FK17" s="60"/>
      <c r="FL17" s="239"/>
      <c r="FS17" s="126"/>
      <c r="FW17" s="60"/>
      <c r="FX17" s="132"/>
      <c r="FY17" s="132"/>
      <c r="FZ17" s="65"/>
      <c r="GA17" s="65"/>
      <c r="GC17" s="60"/>
      <c r="GD17" s="60"/>
      <c r="GE17" s="60"/>
      <c r="GF17" s="239"/>
      <c r="GN17" s="126"/>
      <c r="GR17" s="60"/>
      <c r="GS17" s="60"/>
      <c r="GT17" s="175"/>
      <c r="GU17" s="132"/>
      <c r="GV17" s="65"/>
      <c r="GX17" s="60"/>
      <c r="GY17" s="60"/>
      <c r="GZ17" s="60"/>
      <c r="HA17" s="239"/>
    </row>
    <row r="18" spans="1:209">
      <c r="C18" s="534">
        <v>1015710</v>
      </c>
      <c r="D18" s="534"/>
      <c r="F18" s="534">
        <v>1454330</v>
      </c>
      <c r="G18" s="534"/>
      <c r="I18" s="534"/>
      <c r="J18" s="534"/>
      <c r="L18" s="534">
        <v>3840515</v>
      </c>
      <c r="M18" s="534"/>
      <c r="O18" s="540"/>
      <c r="P18" s="540"/>
      <c r="X18" s="126"/>
      <c r="Y18" s="65"/>
      <c r="Z18" s="65"/>
      <c r="AA18" s="65"/>
      <c r="AB18" s="65"/>
      <c r="AC18" s="65"/>
      <c r="AD18" s="254" t="s">
        <v>360</v>
      </c>
      <c r="AE18" s="65"/>
      <c r="AF18" s="65"/>
      <c r="AG18" s="65"/>
      <c r="AH18" s="65"/>
      <c r="AK18" s="239"/>
      <c r="AO18" s="126"/>
      <c r="AP18" s="65"/>
      <c r="AQ18" s="65"/>
      <c r="AR18" s="65"/>
      <c r="AS18" s="65"/>
      <c r="AT18" s="65"/>
      <c r="AU18" s="254" t="s">
        <v>360</v>
      </c>
      <c r="AV18" s="65"/>
      <c r="AW18" s="65"/>
      <c r="AX18" s="65"/>
      <c r="AY18" s="65"/>
      <c r="AZ18" s="60"/>
      <c r="BA18" s="60"/>
      <c r="BB18" s="239"/>
      <c r="BG18" s="126"/>
      <c r="BH18" s="65"/>
      <c r="BI18" s="65"/>
      <c r="BJ18" s="65"/>
      <c r="BK18" s="65"/>
      <c r="BL18" s="65"/>
      <c r="BM18" s="254" t="s">
        <v>360</v>
      </c>
      <c r="BN18" s="65"/>
      <c r="BO18" s="65"/>
      <c r="BP18" s="65"/>
      <c r="BQ18" s="65"/>
      <c r="BR18" s="60"/>
      <c r="BS18" s="60"/>
      <c r="BT18" s="239"/>
      <c r="BY18" s="126"/>
      <c r="BZ18" s="65"/>
      <c r="CA18" s="65"/>
      <c r="CB18" s="65"/>
      <c r="CC18" s="65"/>
      <c r="CD18" s="65"/>
      <c r="CE18" s="254" t="s">
        <v>360</v>
      </c>
      <c r="CF18" s="65"/>
      <c r="CG18" s="65"/>
      <c r="CH18" s="65"/>
      <c r="CI18" s="65"/>
      <c r="CJ18" s="60"/>
      <c r="CK18" s="60"/>
      <c r="CL18" s="239"/>
      <c r="CS18" s="126"/>
      <c r="CT18" s="65"/>
      <c r="CU18" s="65"/>
      <c r="CV18" s="65"/>
      <c r="CW18" s="65"/>
      <c r="CX18" s="65"/>
      <c r="CY18" s="254" t="s">
        <v>360</v>
      </c>
      <c r="DA18" s="65"/>
      <c r="DB18" s="65"/>
      <c r="DC18" s="65"/>
      <c r="DD18" s="60"/>
      <c r="DE18" s="60"/>
      <c r="DF18" s="239"/>
      <c r="DM18" s="126"/>
      <c r="DN18" s="65"/>
      <c r="DO18" s="65"/>
      <c r="DP18" s="65"/>
      <c r="DQ18" s="65"/>
      <c r="DR18" s="65"/>
      <c r="DS18" s="254" t="s">
        <v>360</v>
      </c>
      <c r="DT18" s="65"/>
      <c r="DU18" s="65"/>
      <c r="DV18" s="65"/>
      <c r="DW18" s="65"/>
      <c r="DX18" s="60"/>
      <c r="DY18" s="60"/>
      <c r="DZ18" s="239"/>
      <c r="EE18" s="126"/>
      <c r="EF18" s="65"/>
      <c r="EG18" s="65"/>
      <c r="EH18" s="65"/>
      <c r="EI18" s="65"/>
      <c r="EJ18" s="65"/>
      <c r="EK18" s="254" t="s">
        <v>360</v>
      </c>
      <c r="EL18" s="65"/>
      <c r="EM18" s="65"/>
      <c r="EN18" s="65"/>
      <c r="EO18" s="65"/>
      <c r="EP18" s="60"/>
      <c r="EQ18" s="60"/>
      <c r="ER18" s="239"/>
      <c r="EY18" s="126"/>
      <c r="EZ18" s="65"/>
      <c r="FA18" s="65"/>
      <c r="FB18" s="65"/>
      <c r="FC18" s="65"/>
      <c r="FD18" s="65"/>
      <c r="FE18" s="254" t="s">
        <v>360</v>
      </c>
      <c r="FF18" s="65"/>
      <c r="FG18" s="65"/>
      <c r="FH18" s="65"/>
      <c r="FI18" s="65"/>
      <c r="FJ18" s="60"/>
      <c r="FK18" s="60"/>
      <c r="FL18" s="239"/>
      <c r="FS18" s="126"/>
      <c r="FT18" s="65"/>
      <c r="FU18" s="65"/>
      <c r="FV18" s="65"/>
      <c r="FW18" s="65"/>
      <c r="FX18" s="65"/>
      <c r="FY18" s="254" t="s">
        <v>360</v>
      </c>
      <c r="FZ18" s="65"/>
      <c r="GA18" s="65"/>
      <c r="GB18" s="65"/>
      <c r="GC18" s="65"/>
      <c r="GD18" s="60"/>
      <c r="GE18" s="60"/>
      <c r="GF18" s="239"/>
      <c r="GN18" s="126"/>
      <c r="GR18" s="60"/>
      <c r="GS18" s="65"/>
      <c r="GT18" s="254" t="s">
        <v>360</v>
      </c>
      <c r="GU18" s="65"/>
      <c r="GV18" s="65"/>
      <c r="GW18" s="65"/>
      <c r="GX18" s="65"/>
      <c r="GY18" s="60"/>
      <c r="GZ18" s="60"/>
      <c r="HA18" s="239"/>
    </row>
    <row r="19" spans="1:209">
      <c r="C19" s="534"/>
      <c r="D19" s="534"/>
      <c r="F19" s="534"/>
      <c r="G19" s="534"/>
      <c r="I19" s="534"/>
      <c r="J19" s="534"/>
      <c r="L19" s="534"/>
      <c r="M19" s="534"/>
      <c r="O19" s="540"/>
      <c r="P19" s="540"/>
      <c r="X19" s="126"/>
      <c r="Y19" s="134"/>
      <c r="Z19" s="65"/>
      <c r="AA19" s="65"/>
      <c r="AB19" s="65"/>
      <c r="AC19" s="252" t="s">
        <v>462</v>
      </c>
      <c r="AD19" s="131" t="s">
        <v>463</v>
      </c>
      <c r="AE19" s="65"/>
      <c r="AF19" s="65"/>
      <c r="AG19" s="65"/>
      <c r="AH19" s="65"/>
      <c r="AK19" s="239"/>
      <c r="AO19" s="126"/>
      <c r="AP19" s="134"/>
      <c r="AQ19" s="65"/>
      <c r="AR19" s="65"/>
      <c r="AS19" s="65"/>
      <c r="AT19" s="252" t="s">
        <v>462</v>
      </c>
      <c r="AU19" s="131" t="s">
        <v>463</v>
      </c>
      <c r="AV19" s="65"/>
      <c r="AW19" s="65"/>
      <c r="AX19" s="65"/>
      <c r="AY19" s="65"/>
      <c r="AZ19" s="60"/>
      <c r="BA19" s="60"/>
      <c r="BB19" s="239"/>
      <c r="BG19" s="126"/>
      <c r="BH19" s="134"/>
      <c r="BI19" s="65"/>
      <c r="BJ19" s="65"/>
      <c r="BK19" s="65"/>
      <c r="BL19" s="252" t="s">
        <v>462</v>
      </c>
      <c r="BM19" s="131" t="s">
        <v>463</v>
      </c>
      <c r="BN19" s="65"/>
      <c r="BO19" s="65"/>
      <c r="BP19" s="65"/>
      <c r="BQ19" s="65"/>
      <c r="BR19" s="60"/>
      <c r="BS19" s="60"/>
      <c r="BT19" s="239"/>
      <c r="BY19" s="126"/>
      <c r="BZ19" s="134"/>
      <c r="CA19" s="65"/>
      <c r="CB19" s="65"/>
      <c r="CC19" s="65"/>
      <c r="CD19" s="252" t="s">
        <v>462</v>
      </c>
      <c r="CE19" s="131" t="s">
        <v>463</v>
      </c>
      <c r="CF19" s="65"/>
      <c r="CG19" s="65"/>
      <c r="CH19" s="65"/>
      <c r="CI19" s="65"/>
      <c r="CJ19" s="60"/>
      <c r="CK19" s="60"/>
      <c r="CL19" s="239"/>
      <c r="CS19" s="126"/>
      <c r="CT19" s="134"/>
      <c r="CU19" s="65"/>
      <c r="CV19" s="65"/>
      <c r="CW19" s="65"/>
      <c r="CX19" s="252" t="s">
        <v>462</v>
      </c>
      <c r="CY19" s="131" t="s">
        <v>463</v>
      </c>
      <c r="DA19" s="65"/>
      <c r="DB19" s="65"/>
      <c r="DC19" s="65"/>
      <c r="DD19" s="60"/>
      <c r="DE19" s="60"/>
      <c r="DF19" s="239"/>
      <c r="DM19" s="126"/>
      <c r="DN19" s="134"/>
      <c r="DO19" s="65"/>
      <c r="DP19" s="65"/>
      <c r="DQ19" s="65"/>
      <c r="DR19" s="252" t="s">
        <v>462</v>
      </c>
      <c r="DS19" s="131" t="s">
        <v>463</v>
      </c>
      <c r="DT19" s="65"/>
      <c r="DU19" s="65"/>
      <c r="DV19" s="65"/>
      <c r="DW19" s="65"/>
      <c r="DX19" s="60"/>
      <c r="DY19" s="60"/>
      <c r="DZ19" s="239"/>
      <c r="EE19" s="126"/>
      <c r="EF19" s="134"/>
      <c r="EG19" s="65"/>
      <c r="EH19" s="65"/>
      <c r="EI19" s="65"/>
      <c r="EJ19" s="252" t="s">
        <v>462</v>
      </c>
      <c r="EK19" s="131" t="s">
        <v>463</v>
      </c>
      <c r="EL19" s="65"/>
      <c r="EM19" s="65"/>
      <c r="EN19" s="65"/>
      <c r="EO19" s="65"/>
      <c r="EP19" s="60"/>
      <c r="EQ19" s="60"/>
      <c r="ER19" s="239"/>
      <c r="EY19" s="126"/>
      <c r="EZ19" s="134"/>
      <c r="FA19" s="65"/>
      <c r="FB19" s="65"/>
      <c r="FC19" s="65"/>
      <c r="FD19" s="252" t="s">
        <v>462</v>
      </c>
      <c r="FE19" s="131" t="s">
        <v>463</v>
      </c>
      <c r="FF19" s="65"/>
      <c r="FG19" s="65"/>
      <c r="FH19" s="65"/>
      <c r="FI19" s="65"/>
      <c r="FJ19" s="60"/>
      <c r="FK19" s="60"/>
      <c r="FL19" s="239"/>
      <c r="FS19" s="126"/>
      <c r="FT19" s="134"/>
      <c r="FU19" s="65"/>
      <c r="FV19" s="65"/>
      <c r="FW19" s="65"/>
      <c r="FX19" s="252" t="s">
        <v>462</v>
      </c>
      <c r="FY19" s="131" t="s">
        <v>463</v>
      </c>
      <c r="FZ19" s="65"/>
      <c r="GA19" s="65"/>
      <c r="GB19" s="65"/>
      <c r="GC19" s="65"/>
      <c r="GD19" s="60"/>
      <c r="GE19" s="60"/>
      <c r="GF19" s="239"/>
      <c r="GN19" s="126"/>
      <c r="GO19" s="65"/>
      <c r="GP19" s="65"/>
      <c r="GQ19" s="65"/>
      <c r="GR19" s="65"/>
      <c r="GS19" s="252" t="s">
        <v>462</v>
      </c>
      <c r="GT19" s="131" t="s">
        <v>463</v>
      </c>
      <c r="GU19" s="65"/>
      <c r="GV19" s="65"/>
      <c r="GW19" s="65"/>
      <c r="GX19" s="65"/>
      <c r="GY19" s="60"/>
      <c r="GZ19" s="60"/>
      <c r="HA19" s="239"/>
    </row>
    <row r="20" spans="1:209">
      <c r="F20" s="539">
        <v>1453033</v>
      </c>
      <c r="G20" s="539"/>
      <c r="X20" s="126"/>
      <c r="Y20" s="134"/>
      <c r="Z20" s="65"/>
      <c r="AA20" s="145"/>
      <c r="AB20" s="145"/>
      <c r="AC20" s="252" t="s">
        <v>306</v>
      </c>
      <c r="AD20" s="131" t="s">
        <v>627</v>
      </c>
      <c r="AE20" s="65"/>
      <c r="AF20" s="65"/>
      <c r="AG20" s="65"/>
      <c r="AH20" s="65"/>
      <c r="AK20" s="239"/>
      <c r="AO20" s="126"/>
      <c r="AP20" s="134"/>
      <c r="AQ20" s="65"/>
      <c r="AR20" s="145"/>
      <c r="AS20" s="145"/>
      <c r="AT20" s="252" t="s">
        <v>306</v>
      </c>
      <c r="AU20" s="131" t="s">
        <v>626</v>
      </c>
      <c r="AV20" s="65"/>
      <c r="AW20" s="65"/>
      <c r="AX20" s="65"/>
      <c r="AY20" s="65"/>
      <c r="AZ20" s="60"/>
      <c r="BA20" s="60"/>
      <c r="BB20" s="239"/>
      <c r="BG20" s="126"/>
      <c r="BH20" s="134"/>
      <c r="BI20" s="65"/>
      <c r="BJ20" s="145"/>
      <c r="BK20" s="145"/>
      <c r="BL20" s="252" t="s">
        <v>306</v>
      </c>
      <c r="BM20" s="131" t="s">
        <v>626</v>
      </c>
      <c r="BN20" s="65"/>
      <c r="BO20" s="65"/>
      <c r="BP20" s="65"/>
      <c r="BQ20" s="65"/>
      <c r="BR20" s="60"/>
      <c r="BS20" s="60"/>
      <c r="BT20" s="239"/>
      <c r="BY20" s="126"/>
      <c r="BZ20" s="134"/>
      <c r="CA20" s="65"/>
      <c r="CB20" s="145"/>
      <c r="CC20" s="145"/>
      <c r="CD20" s="252" t="s">
        <v>306</v>
      </c>
      <c r="CE20" s="131" t="s">
        <v>627</v>
      </c>
      <c r="CF20" s="65"/>
      <c r="CG20" s="65"/>
      <c r="CH20" s="65"/>
      <c r="CI20" s="65"/>
      <c r="CJ20" s="60"/>
      <c r="CK20" s="60"/>
      <c r="CL20" s="239"/>
      <c r="CS20" s="126"/>
      <c r="CT20" s="134"/>
      <c r="CU20" s="65"/>
      <c r="CV20" s="145"/>
      <c r="CW20" s="145"/>
      <c r="CX20" s="252" t="s">
        <v>306</v>
      </c>
      <c r="CY20" s="131" t="s">
        <v>626</v>
      </c>
      <c r="DA20" s="65"/>
      <c r="DB20" s="65"/>
      <c r="DC20" s="65"/>
      <c r="DD20" s="60"/>
      <c r="DE20" s="60"/>
      <c r="DF20" s="239"/>
      <c r="DM20" s="126"/>
      <c r="DN20" s="134"/>
      <c r="DO20" s="65"/>
      <c r="DP20" s="145"/>
      <c r="DQ20" s="145"/>
      <c r="DR20" s="252" t="s">
        <v>306</v>
      </c>
      <c r="DS20" s="131" t="s">
        <v>627</v>
      </c>
      <c r="DT20" s="65"/>
      <c r="DU20" s="65"/>
      <c r="DV20" s="65"/>
      <c r="DW20" s="65"/>
      <c r="DX20" s="60"/>
      <c r="DY20" s="60"/>
      <c r="DZ20" s="239"/>
      <c r="EE20" s="126"/>
      <c r="EF20" s="134"/>
      <c r="EG20" s="65"/>
      <c r="EH20" s="145"/>
      <c r="EI20" s="145"/>
      <c r="EJ20" s="252" t="s">
        <v>306</v>
      </c>
      <c r="EK20" s="131" t="s">
        <v>627</v>
      </c>
      <c r="EL20" s="65"/>
      <c r="EM20" s="65"/>
      <c r="EN20" s="65"/>
      <c r="EO20" s="65"/>
      <c r="EP20" s="60"/>
      <c r="EQ20" s="60"/>
      <c r="ER20" s="239"/>
      <c r="EY20" s="126"/>
      <c r="EZ20" s="134"/>
      <c r="FA20" s="65"/>
      <c r="FB20" s="145"/>
      <c r="FC20" s="145"/>
      <c r="FD20" s="252" t="s">
        <v>306</v>
      </c>
      <c r="FE20" s="131" t="s">
        <v>627</v>
      </c>
      <c r="FF20" s="65"/>
      <c r="FG20" s="65"/>
      <c r="FH20" s="65"/>
      <c r="FI20" s="65"/>
      <c r="FJ20" s="60"/>
      <c r="FK20" s="60"/>
      <c r="FL20" s="239"/>
      <c r="FS20" s="126"/>
      <c r="FT20" s="134"/>
      <c r="FU20" s="65"/>
      <c r="FV20" s="145"/>
      <c r="FW20" s="145"/>
      <c r="FX20" s="252" t="s">
        <v>306</v>
      </c>
      <c r="FY20" s="131" t="s">
        <v>627</v>
      </c>
      <c r="FZ20" s="65"/>
      <c r="GA20" s="65"/>
      <c r="GB20" s="65"/>
      <c r="GC20" s="65"/>
      <c r="GD20" s="60"/>
      <c r="GE20" s="60"/>
      <c r="GF20" s="239"/>
      <c r="GN20" s="126"/>
      <c r="GO20" s="134"/>
      <c r="GP20" s="65"/>
      <c r="GQ20" s="65"/>
      <c r="GR20" s="65"/>
      <c r="GS20" s="252" t="s">
        <v>306</v>
      </c>
      <c r="GT20" s="131" t="s">
        <v>627</v>
      </c>
      <c r="GU20" s="65"/>
      <c r="GV20" s="65"/>
      <c r="GW20" s="65"/>
      <c r="GX20" s="65"/>
      <c r="GY20" s="60"/>
      <c r="GZ20" s="60"/>
      <c r="HA20" s="239"/>
    </row>
    <row r="21" spans="1:209" ht="12.75" customHeight="1">
      <c r="F21" s="539"/>
      <c r="G21" s="539"/>
      <c r="X21" s="126"/>
      <c r="Y21" s="134"/>
      <c r="Z21" s="65"/>
      <c r="AA21" s="132"/>
      <c r="AB21" s="65"/>
      <c r="AC21" s="253" t="s">
        <v>362</v>
      </c>
      <c r="AD21" s="131" t="s">
        <v>412</v>
      </c>
      <c r="AE21" s="65"/>
      <c r="AF21" s="65"/>
      <c r="AG21" s="65"/>
      <c r="AH21" s="65"/>
      <c r="AK21" s="239"/>
      <c r="AO21" s="126"/>
      <c r="AP21" s="134"/>
      <c r="AQ21" s="65"/>
      <c r="AR21" s="132"/>
      <c r="AS21" s="65"/>
      <c r="AT21" s="253" t="s">
        <v>362</v>
      </c>
      <c r="AU21" s="131" t="s">
        <v>412</v>
      </c>
      <c r="AV21" s="65"/>
      <c r="AW21" s="65"/>
      <c r="AX21" s="65"/>
      <c r="AY21" s="65"/>
      <c r="AZ21" s="60"/>
      <c r="BA21" s="60"/>
      <c r="BB21" s="239"/>
      <c r="BG21" s="126"/>
      <c r="BH21" s="134"/>
      <c r="BI21" s="65"/>
      <c r="BJ21" s="132"/>
      <c r="BK21" s="65"/>
      <c r="BL21" s="253" t="s">
        <v>362</v>
      </c>
      <c r="BM21" s="131" t="s">
        <v>412</v>
      </c>
      <c r="BN21" s="65"/>
      <c r="BO21" s="65"/>
      <c r="BP21" s="65"/>
      <c r="BQ21" s="65"/>
      <c r="BR21" s="60"/>
      <c r="BS21" s="60"/>
      <c r="BT21" s="239"/>
      <c r="BY21" s="126"/>
      <c r="BZ21" s="134"/>
      <c r="CA21" s="65"/>
      <c r="CB21" s="132"/>
      <c r="CC21" s="65"/>
      <c r="CD21" s="253" t="s">
        <v>362</v>
      </c>
      <c r="CE21" s="131" t="s">
        <v>412</v>
      </c>
      <c r="CF21" s="65"/>
      <c r="CG21" s="65"/>
      <c r="CH21" s="65"/>
      <c r="CI21" s="65"/>
      <c r="CJ21" s="60"/>
      <c r="CK21" s="60"/>
      <c r="CL21" s="239"/>
      <c r="CS21" s="126"/>
      <c r="CT21" s="134"/>
      <c r="CU21" s="65"/>
      <c r="CV21" s="132"/>
      <c r="CW21" s="65"/>
      <c r="CX21" s="253" t="s">
        <v>362</v>
      </c>
      <c r="CY21" s="131" t="s">
        <v>412</v>
      </c>
      <c r="DA21" s="65"/>
      <c r="DB21" s="65"/>
      <c r="DC21" s="65"/>
      <c r="DD21" s="60"/>
      <c r="DE21" s="60"/>
      <c r="DF21" s="239"/>
      <c r="DM21" s="126"/>
      <c r="DN21" s="134"/>
      <c r="DO21" s="65"/>
      <c r="DP21" s="132"/>
      <c r="DQ21" s="65"/>
      <c r="DR21" s="253" t="s">
        <v>362</v>
      </c>
      <c r="DS21" s="131" t="s">
        <v>412</v>
      </c>
      <c r="DT21" s="65"/>
      <c r="DU21" s="65"/>
      <c r="DV21" s="65"/>
      <c r="DW21" s="65"/>
      <c r="DX21" s="60"/>
      <c r="DY21" s="60"/>
      <c r="DZ21" s="239"/>
      <c r="EE21" s="126"/>
      <c r="EF21" s="134"/>
      <c r="EG21" s="65"/>
      <c r="EH21" s="132"/>
      <c r="EI21" s="65"/>
      <c r="EJ21" s="253" t="s">
        <v>362</v>
      </c>
      <c r="EK21" s="131" t="s">
        <v>412</v>
      </c>
      <c r="EL21" s="65"/>
      <c r="EM21" s="65"/>
      <c r="EN21" s="65"/>
      <c r="EO21" s="65"/>
      <c r="EP21" s="60"/>
      <c r="EQ21" s="60"/>
      <c r="ER21" s="239"/>
      <c r="EY21" s="126"/>
      <c r="EZ21" s="134"/>
      <c r="FA21" s="65"/>
      <c r="FB21" s="132"/>
      <c r="FC21" s="65"/>
      <c r="FD21" s="253" t="s">
        <v>362</v>
      </c>
      <c r="FE21" s="131" t="s">
        <v>412</v>
      </c>
      <c r="FF21" s="65"/>
      <c r="FG21" s="65"/>
      <c r="FH21" s="65"/>
      <c r="FI21" s="65"/>
      <c r="FJ21" s="60"/>
      <c r="FK21" s="60"/>
      <c r="FL21" s="239"/>
      <c r="FS21" s="126"/>
      <c r="FT21" s="134"/>
      <c r="FU21" s="65"/>
      <c r="FV21" s="132"/>
      <c r="FW21" s="65"/>
      <c r="FX21" s="253" t="s">
        <v>362</v>
      </c>
      <c r="FY21" s="131" t="s">
        <v>412</v>
      </c>
      <c r="FZ21" s="65"/>
      <c r="GA21" s="65"/>
      <c r="GB21" s="65"/>
      <c r="GC21" s="65"/>
      <c r="GD21" s="60"/>
      <c r="GE21" s="60"/>
      <c r="GF21" s="239"/>
      <c r="GN21" s="126"/>
      <c r="GO21" s="134"/>
      <c r="GP21" s="65"/>
      <c r="GQ21" s="145"/>
      <c r="GR21" s="145"/>
      <c r="GS21" s="253" t="s">
        <v>362</v>
      </c>
      <c r="GT21" s="131" t="s">
        <v>412</v>
      </c>
      <c r="GU21" s="65"/>
      <c r="GV21" s="65"/>
      <c r="GW21" s="65"/>
      <c r="GX21" s="65"/>
      <c r="GY21" s="60"/>
      <c r="GZ21" s="60"/>
      <c r="HA21" s="239"/>
    </row>
    <row r="22" spans="1:209">
      <c r="X22" s="126"/>
      <c r="Y22" s="134"/>
      <c r="Z22" s="65"/>
      <c r="AA22" s="145"/>
      <c r="AB22" s="145"/>
      <c r="AC22" s="251" t="s">
        <v>465</v>
      </c>
      <c r="AD22" s="131" t="s">
        <v>464</v>
      </c>
      <c r="AE22" s="65"/>
      <c r="AF22" s="65"/>
      <c r="AG22" s="65"/>
      <c r="AH22" s="65"/>
      <c r="AK22" s="239"/>
      <c r="AM22" s="247"/>
      <c r="AN22" s="247"/>
      <c r="AO22" s="126"/>
      <c r="AP22" s="134"/>
      <c r="AQ22" s="65"/>
      <c r="AR22" s="145"/>
      <c r="AS22" s="145"/>
      <c r="AT22" s="287" t="s">
        <v>465</v>
      </c>
      <c r="AU22" s="143" t="s">
        <v>464</v>
      </c>
      <c r="AV22" s="65"/>
      <c r="AW22" s="65"/>
      <c r="AX22" s="65"/>
      <c r="AY22" s="65"/>
      <c r="AZ22" s="60"/>
      <c r="BA22" s="60"/>
      <c r="BB22" s="239"/>
      <c r="BG22" s="126"/>
      <c r="BH22" s="134"/>
      <c r="BI22" s="65"/>
      <c r="BJ22" s="145"/>
      <c r="BK22" s="145"/>
      <c r="BL22" s="251" t="s">
        <v>465</v>
      </c>
      <c r="BM22" s="131" t="s">
        <v>464</v>
      </c>
      <c r="BN22" s="65"/>
      <c r="BO22" s="65"/>
      <c r="BP22" s="65"/>
      <c r="BQ22" s="65"/>
      <c r="BR22" s="60"/>
      <c r="BS22" s="60"/>
      <c r="BT22" s="239"/>
      <c r="BY22" s="126"/>
      <c r="BZ22" s="134"/>
      <c r="CA22" s="65"/>
      <c r="CB22" s="145"/>
      <c r="CC22" s="145"/>
      <c r="CD22" s="251" t="s">
        <v>465</v>
      </c>
      <c r="CE22" s="131" t="s">
        <v>464</v>
      </c>
      <c r="CF22" s="65"/>
      <c r="CG22" s="65"/>
      <c r="CH22" s="65"/>
      <c r="CI22" s="65"/>
      <c r="CJ22" s="60"/>
      <c r="CK22" s="60"/>
      <c r="CL22" s="239"/>
      <c r="CS22" s="126"/>
      <c r="CT22" s="134"/>
      <c r="CU22" s="65"/>
      <c r="CV22" s="145"/>
      <c r="CW22" s="145"/>
      <c r="CX22" s="251" t="s">
        <v>465</v>
      </c>
      <c r="CY22" s="131" t="s">
        <v>464</v>
      </c>
      <c r="DA22" s="65"/>
      <c r="DB22" s="65"/>
      <c r="DC22" s="65"/>
      <c r="DD22" s="60"/>
      <c r="DE22" s="60"/>
      <c r="DF22" s="239"/>
      <c r="DM22" s="126"/>
      <c r="DN22" s="134"/>
      <c r="DO22" s="65"/>
      <c r="DP22" s="145"/>
      <c r="DQ22" s="145"/>
      <c r="DR22" s="251" t="s">
        <v>465</v>
      </c>
      <c r="DS22" s="131" t="s">
        <v>464</v>
      </c>
      <c r="DT22" s="65"/>
      <c r="DU22" s="65"/>
      <c r="DV22" s="65"/>
      <c r="DW22" s="65"/>
      <c r="DX22" s="60"/>
      <c r="DY22" s="60"/>
      <c r="DZ22" s="239"/>
      <c r="EE22" s="126"/>
      <c r="EF22" s="134"/>
      <c r="EG22" s="65"/>
      <c r="EH22" s="145"/>
      <c r="EI22" s="145"/>
      <c r="EJ22" s="251" t="s">
        <v>465</v>
      </c>
      <c r="EK22" s="131" t="s">
        <v>464</v>
      </c>
      <c r="EL22" s="65"/>
      <c r="EM22" s="65"/>
      <c r="EN22" s="65"/>
      <c r="EO22" s="65"/>
      <c r="EP22" s="60"/>
      <c r="EQ22" s="60"/>
      <c r="ER22" s="239"/>
      <c r="EY22" s="126"/>
      <c r="EZ22" s="134"/>
      <c r="FA22" s="65"/>
      <c r="FB22" s="145"/>
      <c r="FC22" s="145"/>
      <c r="FD22" s="251" t="s">
        <v>465</v>
      </c>
      <c r="FE22" s="131" t="s">
        <v>464</v>
      </c>
      <c r="FF22" s="65"/>
      <c r="FG22" s="65"/>
      <c r="FH22" s="65"/>
      <c r="FI22" s="65"/>
      <c r="FJ22" s="60"/>
      <c r="FK22" s="60"/>
      <c r="FL22" s="239"/>
      <c r="FS22" s="126"/>
      <c r="FT22" s="134"/>
      <c r="FU22" s="65"/>
      <c r="FV22" s="145"/>
      <c r="FW22" s="145"/>
      <c r="FX22" s="251" t="s">
        <v>465</v>
      </c>
      <c r="FY22" s="131" t="s">
        <v>464</v>
      </c>
      <c r="FZ22" s="65"/>
      <c r="GA22" s="65"/>
      <c r="GB22" s="65"/>
      <c r="GC22" s="65"/>
      <c r="GD22" s="60"/>
      <c r="GE22" s="60"/>
      <c r="GF22" s="239"/>
      <c r="GN22" s="126"/>
      <c r="GO22" s="134"/>
      <c r="GP22" s="65"/>
      <c r="GQ22" s="132"/>
      <c r="GR22" s="65"/>
      <c r="GS22" s="251" t="s">
        <v>465</v>
      </c>
      <c r="GT22" s="131" t="s">
        <v>464</v>
      </c>
      <c r="GU22" s="65"/>
      <c r="GV22" s="65"/>
      <c r="GW22" s="65"/>
      <c r="GX22" s="65"/>
      <c r="GY22" s="60"/>
      <c r="GZ22" s="60"/>
      <c r="HA22" s="239"/>
    </row>
    <row r="23" spans="1:209">
      <c r="X23" s="126"/>
      <c r="Y23" s="134"/>
      <c r="Z23" s="65"/>
      <c r="AA23" s="146"/>
      <c r="AB23" s="65"/>
      <c r="AC23" s="251" t="s">
        <v>363</v>
      </c>
      <c r="AD23" s="530" t="s">
        <v>630</v>
      </c>
      <c r="AE23" s="530"/>
      <c r="AF23" s="530"/>
      <c r="AG23" s="530"/>
      <c r="AH23" s="530"/>
      <c r="AI23" s="530"/>
      <c r="AJ23" s="530"/>
      <c r="AK23" s="240"/>
      <c r="AM23" s="247"/>
      <c r="AN23" s="247"/>
      <c r="AO23" s="126"/>
      <c r="AP23" s="134"/>
      <c r="AQ23" s="65"/>
      <c r="AR23" s="146"/>
      <c r="AS23" s="65"/>
      <c r="AT23" s="251" t="s">
        <v>363</v>
      </c>
      <c r="AU23" s="530" t="s">
        <v>630</v>
      </c>
      <c r="AV23" s="530"/>
      <c r="AW23" s="530"/>
      <c r="AX23" s="530"/>
      <c r="AY23" s="530"/>
      <c r="AZ23" s="530"/>
      <c r="BA23" s="530"/>
      <c r="BB23" s="288"/>
      <c r="BG23" s="126"/>
      <c r="BH23" s="134"/>
      <c r="BI23" s="65"/>
      <c r="BJ23" s="146"/>
      <c r="BK23" s="65"/>
      <c r="BL23" s="251" t="s">
        <v>363</v>
      </c>
      <c r="BM23" s="530" t="s">
        <v>630</v>
      </c>
      <c r="BN23" s="530"/>
      <c r="BO23" s="530"/>
      <c r="BP23" s="530"/>
      <c r="BQ23" s="530"/>
      <c r="BR23" s="530"/>
      <c r="BS23" s="530"/>
      <c r="BT23" s="240"/>
      <c r="BY23" s="126"/>
      <c r="BZ23" s="134"/>
      <c r="CA23" s="65"/>
      <c r="CB23" s="146"/>
      <c r="CC23" s="65"/>
      <c r="CD23" s="251" t="s">
        <v>363</v>
      </c>
      <c r="CE23" s="530" t="s">
        <v>630</v>
      </c>
      <c r="CF23" s="530"/>
      <c r="CG23" s="530"/>
      <c r="CH23" s="530"/>
      <c r="CI23" s="530"/>
      <c r="CJ23" s="530"/>
      <c r="CK23" s="530"/>
      <c r="CL23" s="240"/>
      <c r="CS23" s="126"/>
      <c r="CT23" s="134"/>
      <c r="CU23" s="65"/>
      <c r="CV23" s="146"/>
      <c r="CW23" s="65"/>
      <c r="CX23" s="251" t="s">
        <v>363</v>
      </c>
      <c r="CY23" s="530" t="s">
        <v>630</v>
      </c>
      <c r="CZ23" s="530"/>
      <c r="DA23" s="530"/>
      <c r="DB23" s="530"/>
      <c r="DC23" s="530"/>
      <c r="DD23" s="530"/>
      <c r="DE23" s="530"/>
      <c r="DF23" s="240"/>
      <c r="DM23" s="126"/>
      <c r="DN23" s="134"/>
      <c r="DO23" s="65"/>
      <c r="DP23" s="146"/>
      <c r="DQ23" s="65"/>
      <c r="DR23" s="251" t="s">
        <v>363</v>
      </c>
      <c r="DS23" s="530" t="s">
        <v>630</v>
      </c>
      <c r="DT23" s="530"/>
      <c r="DU23" s="530"/>
      <c r="DV23" s="530"/>
      <c r="DW23" s="530"/>
      <c r="DX23" s="530"/>
      <c r="DY23" s="530"/>
      <c r="DZ23" s="240"/>
      <c r="EE23" s="126"/>
      <c r="EF23" s="134"/>
      <c r="EG23" s="65"/>
      <c r="EH23" s="146"/>
      <c r="EI23" s="65"/>
      <c r="EJ23" s="251" t="s">
        <v>363</v>
      </c>
      <c r="EK23" s="530" t="s">
        <v>630</v>
      </c>
      <c r="EL23" s="530"/>
      <c r="EM23" s="530"/>
      <c r="EN23" s="530"/>
      <c r="EO23" s="530"/>
      <c r="EP23" s="530"/>
      <c r="EQ23" s="530"/>
      <c r="ER23" s="240"/>
      <c r="EY23" s="126"/>
      <c r="EZ23" s="134"/>
      <c r="FA23" s="65"/>
      <c r="FB23" s="146"/>
      <c r="FC23" s="65"/>
      <c r="FD23" s="251" t="s">
        <v>363</v>
      </c>
      <c r="FE23" s="530" t="s">
        <v>630</v>
      </c>
      <c r="FF23" s="530"/>
      <c r="FG23" s="530"/>
      <c r="FH23" s="530"/>
      <c r="FI23" s="530"/>
      <c r="FJ23" s="530"/>
      <c r="FK23" s="530"/>
      <c r="FL23" s="240"/>
      <c r="FS23" s="126"/>
      <c r="FT23" s="134"/>
      <c r="FU23" s="65"/>
      <c r="FV23" s="146"/>
      <c r="FW23" s="65"/>
      <c r="FX23" s="251" t="s">
        <v>363</v>
      </c>
      <c r="FY23" s="530" t="s">
        <v>630</v>
      </c>
      <c r="FZ23" s="530"/>
      <c r="GA23" s="530"/>
      <c r="GB23" s="530"/>
      <c r="GC23" s="530"/>
      <c r="GD23" s="530"/>
      <c r="GE23" s="530"/>
      <c r="GF23" s="240"/>
      <c r="GN23" s="126"/>
      <c r="GO23" s="134"/>
      <c r="GP23" s="65"/>
      <c r="GQ23" s="145"/>
      <c r="GR23" s="145"/>
      <c r="GS23" s="251" t="s">
        <v>363</v>
      </c>
      <c r="GT23" s="530" t="s">
        <v>630</v>
      </c>
      <c r="GU23" s="530"/>
      <c r="GV23" s="530"/>
      <c r="GW23" s="530"/>
      <c r="GX23" s="530"/>
      <c r="GY23" s="530"/>
      <c r="GZ23" s="530"/>
      <c r="HA23" s="240"/>
    </row>
    <row r="24" spans="1:209" ht="15" customHeight="1" thickBot="1">
      <c r="X24" s="241"/>
      <c r="Y24" s="242"/>
      <c r="Z24" s="243"/>
      <c r="AA24" s="243"/>
      <c r="AB24" s="244"/>
      <c r="AC24" s="244"/>
      <c r="AD24" s="244"/>
      <c r="AE24" s="245"/>
      <c r="AF24" s="245"/>
      <c r="AG24" s="245"/>
      <c r="AH24" s="244"/>
      <c r="AI24" s="244"/>
      <c r="AJ24" s="244"/>
      <c r="AK24" s="246"/>
      <c r="AM24" s="247"/>
      <c r="AN24" s="247"/>
      <c r="AO24" s="241"/>
      <c r="AP24" s="242"/>
      <c r="AQ24" s="243"/>
      <c r="AR24" s="243"/>
      <c r="AS24" s="244"/>
      <c r="AT24" s="244"/>
      <c r="AU24" s="244"/>
      <c r="AV24" s="245"/>
      <c r="AW24" s="245"/>
      <c r="AX24" s="245"/>
      <c r="AY24" s="244"/>
      <c r="AZ24" s="244"/>
      <c r="BA24" s="244"/>
      <c r="BB24" s="246"/>
      <c r="BG24" s="241"/>
      <c r="BH24" s="242"/>
      <c r="BI24" s="243"/>
      <c r="BJ24" s="243"/>
      <c r="BK24" s="244"/>
      <c r="BL24" s="244"/>
      <c r="BM24" s="244"/>
      <c r="BN24" s="245"/>
      <c r="BO24" s="245"/>
      <c r="BP24" s="245"/>
      <c r="BQ24" s="244"/>
      <c r="BR24" s="244"/>
      <c r="BS24" s="244"/>
      <c r="BT24" s="246"/>
      <c r="BY24" s="241"/>
      <c r="BZ24" s="242"/>
      <c r="CA24" s="243"/>
      <c r="CB24" s="243"/>
      <c r="CC24" s="244"/>
      <c r="CD24" s="244"/>
      <c r="CE24" s="244"/>
      <c r="CF24" s="245"/>
      <c r="CG24" s="245"/>
      <c r="CH24" s="245"/>
      <c r="CI24" s="244"/>
      <c r="CJ24" s="244"/>
      <c r="CK24" s="244"/>
      <c r="CL24" s="246"/>
      <c r="CS24" s="241"/>
      <c r="CT24" s="242"/>
      <c r="CU24" s="243"/>
      <c r="CV24" s="243"/>
      <c r="CW24" s="244"/>
      <c r="CX24" s="244"/>
      <c r="CY24" s="244"/>
      <c r="CZ24" s="245"/>
      <c r="DA24" s="245"/>
      <c r="DB24" s="245"/>
      <c r="DC24" s="244"/>
      <c r="DD24" s="244"/>
      <c r="DE24" s="244"/>
      <c r="DF24" s="246"/>
      <c r="DM24" s="241"/>
      <c r="DN24" s="242"/>
      <c r="DO24" s="243"/>
      <c r="DP24" s="243"/>
      <c r="DQ24" s="244"/>
      <c r="DR24" s="244"/>
      <c r="DS24" s="244"/>
      <c r="DT24" s="245"/>
      <c r="DU24" s="245"/>
      <c r="DV24" s="245"/>
      <c r="DW24" s="244"/>
      <c r="DX24" s="244"/>
      <c r="DY24" s="244"/>
      <c r="DZ24" s="246"/>
      <c r="EE24" s="241"/>
      <c r="EF24" s="242"/>
      <c r="EG24" s="243"/>
      <c r="EH24" s="243"/>
      <c r="EI24" s="244"/>
      <c r="EJ24" s="244"/>
      <c r="EK24" s="244"/>
      <c r="EL24" s="245"/>
      <c r="EM24" s="245"/>
      <c r="EN24" s="245"/>
      <c r="EO24" s="244"/>
      <c r="EP24" s="244"/>
      <c r="EQ24" s="244"/>
      <c r="ER24" s="246"/>
      <c r="EY24" s="241"/>
      <c r="EZ24" s="242"/>
      <c r="FA24" s="243"/>
      <c r="FB24" s="243"/>
      <c r="FC24" s="244"/>
      <c r="FD24" s="244"/>
      <c r="FE24" s="244"/>
      <c r="FF24" s="245"/>
      <c r="FG24" s="245"/>
      <c r="FH24" s="245"/>
      <c r="FI24" s="244"/>
      <c r="FJ24" s="244"/>
      <c r="FK24" s="244"/>
      <c r="FL24" s="246"/>
      <c r="FS24" s="241"/>
      <c r="FT24" s="242"/>
      <c r="FU24" s="243"/>
      <c r="FV24" s="243"/>
      <c r="FW24" s="244"/>
      <c r="FX24" s="244"/>
      <c r="FY24" s="244"/>
      <c r="FZ24" s="245"/>
      <c r="GA24" s="245"/>
      <c r="GB24" s="245"/>
      <c r="GC24" s="244"/>
      <c r="GD24" s="244"/>
      <c r="GE24" s="244"/>
      <c r="GF24" s="246"/>
      <c r="GN24" s="241"/>
      <c r="GO24" s="242"/>
      <c r="GP24" s="243"/>
      <c r="GQ24" s="243"/>
      <c r="GR24" s="244"/>
      <c r="GS24" s="244"/>
      <c r="GT24" s="244"/>
      <c r="GU24" s="245"/>
      <c r="GV24" s="245"/>
      <c r="GW24" s="245"/>
      <c r="GX24" s="244"/>
      <c r="GY24" s="244"/>
      <c r="GZ24" s="244"/>
      <c r="HA24" s="246"/>
    </row>
    <row r="25" spans="1:209">
      <c r="Y25" s="65"/>
      <c r="Z25" s="65"/>
      <c r="AA25" s="65"/>
      <c r="AI25" s="439"/>
      <c r="AJ25" s="439"/>
      <c r="AK25" s="65"/>
      <c r="AM25" s="247"/>
      <c r="AN25" s="247"/>
      <c r="AP25" s="65"/>
      <c r="AQ25" s="65"/>
      <c r="AR25" s="65"/>
      <c r="AS25" s="60"/>
      <c r="AT25" s="60"/>
      <c r="AU25" s="60"/>
      <c r="AY25" s="60"/>
      <c r="AZ25" s="439"/>
      <c r="BA25" s="439"/>
      <c r="BB25" s="65"/>
      <c r="BH25" s="65"/>
      <c r="BI25" s="65"/>
      <c r="BJ25" s="65"/>
      <c r="BK25" s="60"/>
      <c r="BL25" s="60"/>
      <c r="BM25" s="60"/>
      <c r="BQ25" s="60"/>
      <c r="BR25" s="439"/>
      <c r="BS25" s="439"/>
      <c r="BT25" s="65"/>
      <c r="BZ25" s="65"/>
      <c r="CA25" s="65"/>
      <c r="CB25" s="65"/>
      <c r="CC25" s="60"/>
      <c r="CD25" s="60"/>
      <c r="CE25" s="60"/>
      <c r="CI25" s="60"/>
      <c r="CJ25" s="439"/>
      <c r="CK25" s="439"/>
      <c r="CL25" s="65"/>
      <c r="CT25" s="65"/>
      <c r="CU25" s="65"/>
      <c r="CV25" s="65"/>
      <c r="CW25" s="60"/>
      <c r="CX25" s="60"/>
      <c r="CY25" s="60"/>
      <c r="DC25" s="60"/>
      <c r="DD25" s="439"/>
      <c r="DE25" s="439"/>
      <c r="DF25" s="65"/>
      <c r="DN25" s="65"/>
      <c r="DO25" s="65"/>
      <c r="DP25" s="65"/>
      <c r="DQ25" s="60"/>
      <c r="DR25" s="60"/>
      <c r="DS25" s="60"/>
      <c r="DW25" s="60"/>
      <c r="DX25" s="439"/>
      <c r="DY25" s="439"/>
      <c r="DZ25" s="65"/>
      <c r="EF25" s="65"/>
      <c r="EG25" s="65"/>
      <c r="EH25" s="65"/>
      <c r="EI25" s="60"/>
      <c r="EJ25" s="60"/>
      <c r="EK25" s="60"/>
      <c r="EO25" s="60"/>
      <c r="EP25" s="439"/>
      <c r="EQ25" s="439"/>
      <c r="ER25" s="65"/>
      <c r="EZ25" s="65"/>
      <c r="FA25" s="65"/>
      <c r="FB25" s="65"/>
      <c r="FC25" s="60"/>
      <c r="FD25" s="60"/>
      <c r="FE25" s="60"/>
      <c r="FI25" s="60"/>
      <c r="FJ25" s="439"/>
      <c r="FK25" s="439"/>
      <c r="FL25" s="65"/>
      <c r="FT25" s="65"/>
      <c r="FU25" s="65"/>
      <c r="FV25" s="65"/>
      <c r="FW25" s="60"/>
      <c r="FX25" s="60"/>
      <c r="FY25" s="60"/>
      <c r="GC25" s="60"/>
      <c r="GD25" s="439"/>
      <c r="GE25" s="439"/>
      <c r="GF25" s="65"/>
      <c r="GX25" s="60"/>
      <c r="GY25" s="439"/>
      <c r="GZ25" s="439"/>
      <c r="HA25" s="65"/>
    </row>
    <row r="26" spans="1:209" ht="15.75" customHeight="1">
      <c r="Y26" s="65"/>
      <c r="Z26" s="65"/>
      <c r="AA26" s="65"/>
      <c r="AI26" s="433"/>
      <c r="AJ26" s="433"/>
      <c r="AK26" s="65"/>
      <c r="AM26" s="247"/>
      <c r="AN26" s="247"/>
      <c r="AO26" s="65"/>
      <c r="AP26" s="65"/>
      <c r="BG26" s="65"/>
      <c r="BH26" s="65"/>
      <c r="BY26" s="65"/>
      <c r="BZ26" s="65"/>
      <c r="CS26" s="65"/>
      <c r="CT26" s="65"/>
      <c r="DM26" s="65"/>
      <c r="DN26" s="65"/>
      <c r="EE26" s="65"/>
      <c r="EF26" s="65"/>
      <c r="EY26" s="65"/>
      <c r="EZ26" s="65"/>
      <c r="FS26" s="65"/>
      <c r="FT26" s="65"/>
      <c r="GN26" s="65"/>
      <c r="GO26" s="65"/>
      <c r="GP26" s="65"/>
      <c r="GQ26" s="65"/>
      <c r="GR26" s="60"/>
      <c r="GS26" s="60"/>
      <c r="GT26" s="60"/>
    </row>
    <row r="27" spans="1:209" s="65" customFormat="1" ht="17.25" customHeight="1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  <c r="U27" s="247"/>
      <c r="V27" s="247"/>
      <c r="W27" s="247"/>
      <c r="X27" s="59"/>
      <c r="Y27" s="59"/>
      <c r="Z27" s="59"/>
      <c r="AA27" s="59"/>
      <c r="AB27" s="60"/>
      <c r="AC27" s="60"/>
      <c r="AD27" s="60"/>
      <c r="AE27" s="59"/>
      <c r="AF27" s="59"/>
      <c r="AG27" s="59"/>
      <c r="AH27" s="60"/>
      <c r="AI27" s="433"/>
      <c r="AJ27" s="433"/>
      <c r="AK27" s="61"/>
      <c r="AL27" s="247"/>
      <c r="AM27" s="247"/>
      <c r="AN27" s="247"/>
      <c r="BC27" s="247"/>
      <c r="BD27" s="247"/>
      <c r="BE27" s="247"/>
      <c r="BF27" s="247"/>
      <c r="BU27" s="247"/>
      <c r="BV27" s="247"/>
      <c r="BW27" s="247"/>
      <c r="BX27" s="247"/>
      <c r="CM27" s="247"/>
      <c r="CN27" s="247"/>
      <c r="CO27" s="247"/>
      <c r="CP27" s="247"/>
      <c r="CQ27" s="247"/>
      <c r="CR27" s="247"/>
      <c r="DG27" s="247"/>
      <c r="DH27" s="247"/>
      <c r="DI27" s="247"/>
      <c r="DJ27" s="247"/>
      <c r="DK27" s="247"/>
      <c r="DL27" s="247"/>
      <c r="EA27" s="247"/>
      <c r="EB27" s="247"/>
      <c r="EC27" s="247"/>
      <c r="ED27" s="247"/>
      <c r="ES27" s="247"/>
      <c r="ET27" s="247"/>
      <c r="EU27" s="247"/>
      <c r="EV27" s="247"/>
      <c r="EW27" s="247"/>
      <c r="EX27" s="247"/>
      <c r="FM27" s="247"/>
      <c r="FN27" s="247"/>
      <c r="FO27" s="247"/>
      <c r="FP27" s="247"/>
      <c r="FQ27" s="247"/>
      <c r="FR27" s="247"/>
      <c r="GG27" s="247"/>
      <c r="GH27" s="247"/>
      <c r="GI27" s="247"/>
      <c r="GJ27" s="247"/>
      <c r="GK27" s="247"/>
      <c r="GL27" s="247"/>
      <c r="GM27" s="247"/>
      <c r="GP27" s="59"/>
      <c r="GQ27" s="59"/>
      <c r="GR27" s="59"/>
      <c r="GS27" s="59"/>
      <c r="GT27" s="59"/>
      <c r="GU27" s="59"/>
    </row>
    <row r="28" spans="1:209" s="65" customFormat="1" ht="18.75" customHeight="1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  <c r="U28" s="247"/>
      <c r="V28" s="247"/>
      <c r="W28" s="247"/>
      <c r="X28" s="59"/>
      <c r="Y28" s="59"/>
      <c r="Z28" s="59"/>
      <c r="AA28" s="59"/>
      <c r="AB28" s="60"/>
      <c r="AC28" s="60"/>
      <c r="AD28" s="60"/>
      <c r="AE28" s="59"/>
      <c r="AF28" s="59"/>
      <c r="AG28" s="59"/>
      <c r="AH28" s="60"/>
      <c r="AI28" s="132"/>
      <c r="AJ28" s="132"/>
      <c r="AK28" s="61"/>
      <c r="AL28" s="247"/>
      <c r="AM28" s="247"/>
      <c r="AN28" s="247"/>
      <c r="BC28" s="247"/>
      <c r="BD28" s="247"/>
      <c r="BE28" s="247"/>
      <c r="BF28" s="247"/>
      <c r="BU28" s="247"/>
      <c r="BV28" s="247"/>
      <c r="BW28" s="247"/>
      <c r="BX28" s="247"/>
      <c r="CM28" s="247"/>
      <c r="CN28" s="247"/>
      <c r="CO28" s="247"/>
      <c r="CP28" s="247"/>
      <c r="CQ28" s="247"/>
      <c r="CR28" s="247"/>
      <c r="DG28" s="247"/>
      <c r="DH28" s="247"/>
      <c r="DI28" s="247"/>
      <c r="DJ28" s="247"/>
      <c r="DK28" s="247"/>
      <c r="DL28" s="247"/>
      <c r="EA28" s="247"/>
      <c r="EB28" s="247"/>
      <c r="EC28" s="247"/>
      <c r="ED28" s="247"/>
      <c r="ES28" s="247"/>
      <c r="ET28" s="247"/>
      <c r="EU28" s="247"/>
      <c r="EV28" s="247"/>
      <c r="EW28" s="247"/>
      <c r="EX28" s="247"/>
      <c r="FM28" s="247"/>
      <c r="FN28" s="247"/>
      <c r="FO28" s="247"/>
      <c r="FP28" s="247"/>
      <c r="FQ28" s="247"/>
      <c r="FR28" s="247"/>
      <c r="GG28" s="247"/>
      <c r="GH28" s="247"/>
      <c r="GI28" s="247"/>
      <c r="GJ28" s="247"/>
      <c r="GK28" s="247"/>
      <c r="GL28" s="247"/>
      <c r="GM28" s="247"/>
    </row>
    <row r="29" spans="1:209" s="65" customFormat="1" ht="20.100000000000001" customHeight="1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  <c r="U29" s="247"/>
      <c r="V29" s="247"/>
      <c r="W29" s="247"/>
      <c r="X29" s="59"/>
      <c r="Y29" s="59"/>
      <c r="Z29" s="59"/>
      <c r="AA29" s="59"/>
      <c r="AB29" s="60"/>
      <c r="AC29" s="60"/>
      <c r="AD29" s="60"/>
      <c r="AE29" s="59"/>
      <c r="AF29" s="59"/>
      <c r="AG29" s="59"/>
      <c r="AH29" s="60"/>
      <c r="AK29" s="61"/>
      <c r="AL29" s="247"/>
      <c r="AM29" s="247"/>
      <c r="AN29" s="247"/>
      <c r="BC29" s="247"/>
      <c r="BD29" s="247"/>
      <c r="BE29" s="247"/>
      <c r="BF29" s="247"/>
      <c r="BU29" s="247"/>
      <c r="BV29" s="247"/>
      <c r="BW29" s="247"/>
      <c r="BX29" s="247"/>
      <c r="CM29" s="247"/>
      <c r="CN29" s="247"/>
      <c r="CO29" s="247"/>
      <c r="CP29" s="247"/>
      <c r="CQ29" s="247"/>
      <c r="CR29" s="247"/>
      <c r="DG29" s="247"/>
      <c r="DH29" s="247"/>
      <c r="DI29" s="247"/>
      <c r="DJ29" s="247"/>
      <c r="DK29" s="247"/>
      <c r="DL29" s="247"/>
      <c r="EA29" s="247"/>
      <c r="EB29" s="247"/>
      <c r="EC29" s="247"/>
      <c r="ED29" s="247"/>
      <c r="ES29" s="247"/>
      <c r="ET29" s="247"/>
      <c r="EU29" s="247"/>
      <c r="EV29" s="247"/>
      <c r="EW29" s="247"/>
      <c r="EX29" s="247"/>
      <c r="FM29" s="247"/>
      <c r="FN29" s="247"/>
      <c r="FO29" s="247"/>
      <c r="FP29" s="247"/>
      <c r="FQ29" s="247"/>
      <c r="FR29" s="247"/>
      <c r="GG29" s="247"/>
      <c r="GH29" s="247"/>
      <c r="GI29" s="247"/>
      <c r="GJ29" s="247"/>
      <c r="GK29" s="247"/>
      <c r="GL29" s="247"/>
      <c r="GM29" s="247"/>
    </row>
    <row r="30" spans="1:209" s="65" customFormat="1" ht="20.100000000000001" hidden="1" customHeight="1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  <c r="U30" s="247"/>
      <c r="V30" s="247"/>
      <c r="W30" s="247"/>
      <c r="X30" s="59"/>
      <c r="Y30" s="59"/>
      <c r="Z30" s="59"/>
      <c r="AA30" s="59"/>
      <c r="AB30" s="60" t="s">
        <v>309</v>
      </c>
      <c r="AC30" s="60"/>
      <c r="AD30" s="60"/>
      <c r="AE30" s="59"/>
      <c r="AF30" s="59"/>
      <c r="AG30" s="59"/>
      <c r="AH30" s="60"/>
      <c r="AI30" s="61"/>
      <c r="AK30" s="61"/>
      <c r="AL30" s="247"/>
      <c r="AM30" s="247"/>
      <c r="AN30" s="247"/>
      <c r="BC30" s="247"/>
      <c r="BD30" s="247"/>
      <c r="BE30" s="247"/>
      <c r="BF30" s="247"/>
      <c r="BU30" s="247"/>
      <c r="BV30" s="247"/>
      <c r="BW30" s="247"/>
      <c r="BX30" s="247"/>
      <c r="CM30" s="247"/>
      <c r="CN30" s="247"/>
      <c r="CO30" s="247"/>
      <c r="CP30" s="247"/>
      <c r="CQ30" s="247"/>
      <c r="CR30" s="247"/>
      <c r="DG30" s="247"/>
      <c r="DH30" s="247"/>
      <c r="DI30" s="247"/>
      <c r="DJ30" s="247"/>
      <c r="DK30" s="247"/>
      <c r="DL30" s="247"/>
      <c r="EA30" s="247"/>
      <c r="EB30" s="247"/>
      <c r="EC30" s="247"/>
      <c r="ED30" s="247"/>
      <c r="ES30" s="247"/>
      <c r="ET30" s="247"/>
      <c r="EU30" s="247"/>
      <c r="EV30" s="247"/>
      <c r="EW30" s="247"/>
      <c r="EX30" s="247"/>
      <c r="FM30" s="247"/>
      <c r="FN30" s="247"/>
      <c r="FO30" s="247"/>
      <c r="FP30" s="247"/>
      <c r="FQ30" s="247"/>
      <c r="FR30" s="247"/>
      <c r="GG30" s="247"/>
      <c r="GH30" s="247"/>
      <c r="GI30" s="247"/>
      <c r="GJ30" s="247"/>
      <c r="GK30" s="247"/>
      <c r="GL30" s="247"/>
      <c r="GM30" s="247"/>
    </row>
    <row r="31" spans="1:209" s="65" customFormat="1" ht="16.5" hidden="1" customHeight="1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  <c r="U31" s="247"/>
      <c r="V31" s="247"/>
      <c r="W31" s="247"/>
      <c r="X31" s="59"/>
      <c r="Y31" s="59"/>
      <c r="Z31" s="59"/>
      <c r="AA31" s="59"/>
      <c r="AB31" s="60"/>
      <c r="AC31" s="60"/>
      <c r="AD31" s="60"/>
      <c r="AE31" s="59"/>
      <c r="AF31" s="59"/>
      <c r="AG31" s="59"/>
      <c r="AH31" s="60"/>
      <c r="AI31" s="66"/>
      <c r="AK31" s="61"/>
      <c r="AL31" s="247"/>
      <c r="AM31" s="247"/>
      <c r="AN31" s="247"/>
      <c r="BC31" s="247"/>
      <c r="BD31" s="247"/>
      <c r="BE31" s="247"/>
      <c r="BF31" s="247"/>
      <c r="BU31" s="247"/>
      <c r="BV31" s="247"/>
      <c r="BW31" s="247"/>
      <c r="BX31" s="247"/>
      <c r="CM31" s="247"/>
      <c r="CN31" s="247"/>
      <c r="CO31" s="247"/>
      <c r="CP31" s="247"/>
      <c r="CQ31" s="247"/>
      <c r="CR31" s="247"/>
      <c r="DG31" s="247"/>
      <c r="DH31" s="247"/>
      <c r="DI31" s="247"/>
      <c r="DJ31" s="247"/>
      <c r="DK31" s="247"/>
      <c r="DL31" s="247"/>
      <c r="EA31" s="247"/>
      <c r="EB31" s="247"/>
      <c r="EC31" s="247"/>
      <c r="ED31" s="247"/>
      <c r="ES31" s="247"/>
      <c r="ET31" s="247"/>
      <c r="EU31" s="247"/>
      <c r="EV31" s="247"/>
      <c r="EW31" s="247"/>
      <c r="EX31" s="247"/>
      <c r="FM31" s="247"/>
      <c r="FN31" s="247"/>
      <c r="FO31" s="247"/>
      <c r="FP31" s="247"/>
      <c r="FQ31" s="247"/>
      <c r="FR31" s="247"/>
      <c r="GG31" s="247"/>
      <c r="GH31" s="247"/>
      <c r="GI31" s="247"/>
      <c r="GJ31" s="247"/>
      <c r="GK31" s="247"/>
      <c r="GL31" s="247"/>
      <c r="GM31" s="247"/>
    </row>
    <row r="32" spans="1:209" s="65" customFormat="1" ht="20.100000000000001" hidden="1" customHeight="1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7"/>
      <c r="V32" s="247"/>
      <c r="W32" s="247"/>
      <c r="X32" s="59"/>
      <c r="Y32" s="59"/>
      <c r="Z32" s="59"/>
      <c r="AA32" s="59"/>
      <c r="AB32" s="60"/>
      <c r="AC32" s="60"/>
      <c r="AD32" s="60"/>
      <c r="AE32" s="59"/>
      <c r="AF32" s="59"/>
      <c r="AG32" s="59"/>
      <c r="AH32" s="60"/>
      <c r="AI32" s="66"/>
      <c r="AJ32" s="66"/>
      <c r="AK32" s="60"/>
      <c r="AL32" s="247"/>
      <c r="AM32" s="248"/>
      <c r="AN32" s="248"/>
      <c r="AO32" s="60"/>
      <c r="AP32" s="60"/>
      <c r="BC32" s="247"/>
      <c r="BD32" s="247"/>
      <c r="BE32" s="247"/>
      <c r="BF32" s="247"/>
      <c r="BG32" s="60"/>
      <c r="BH32" s="60"/>
      <c r="BU32" s="247"/>
      <c r="BV32" s="247"/>
      <c r="BW32" s="247"/>
      <c r="BX32" s="247"/>
      <c r="BY32" s="60"/>
      <c r="BZ32" s="60"/>
      <c r="CM32" s="247"/>
      <c r="CN32" s="247"/>
      <c r="CO32" s="247"/>
      <c r="CP32" s="247"/>
      <c r="CQ32" s="247"/>
      <c r="CR32" s="247"/>
      <c r="CS32" s="60"/>
      <c r="CT32" s="60"/>
      <c r="DG32" s="247"/>
      <c r="DH32" s="247"/>
      <c r="DI32" s="247"/>
      <c r="DJ32" s="247"/>
      <c r="DK32" s="247"/>
      <c r="DL32" s="247"/>
      <c r="DM32" s="60"/>
      <c r="DN32" s="60"/>
      <c r="EA32" s="247"/>
      <c r="EB32" s="247"/>
      <c r="EC32" s="247"/>
      <c r="ED32" s="247"/>
      <c r="EE32" s="60"/>
      <c r="EF32" s="60"/>
      <c r="ES32" s="247"/>
      <c r="ET32" s="247"/>
      <c r="EU32" s="247"/>
      <c r="EV32" s="247"/>
      <c r="EW32" s="247"/>
      <c r="EX32" s="247"/>
      <c r="EY32" s="60"/>
      <c r="EZ32" s="60"/>
      <c r="FM32" s="247"/>
      <c r="FN32" s="247"/>
      <c r="FO32" s="247"/>
      <c r="FP32" s="247"/>
      <c r="FQ32" s="247"/>
      <c r="FR32" s="247"/>
      <c r="FS32" s="60"/>
      <c r="FT32" s="60"/>
      <c r="GG32" s="247"/>
      <c r="GH32" s="247"/>
      <c r="GI32" s="247"/>
      <c r="GJ32" s="247"/>
      <c r="GK32" s="247"/>
      <c r="GL32" s="247"/>
      <c r="GM32" s="247"/>
      <c r="GN32" s="60"/>
    </row>
    <row r="33" spans="1:203" s="65" customFormat="1" ht="22.5" hidden="1" customHeight="1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  <c r="U33" s="247"/>
      <c r="V33" s="247"/>
      <c r="W33" s="247"/>
      <c r="X33" s="59"/>
      <c r="Y33" s="59"/>
      <c r="Z33" s="59"/>
      <c r="AA33" s="59"/>
      <c r="AB33" s="60"/>
      <c r="AC33" s="60"/>
      <c r="AD33" s="60"/>
      <c r="AE33" s="59"/>
      <c r="AF33" s="59"/>
      <c r="AG33" s="59"/>
      <c r="AH33" s="60"/>
      <c r="AI33" s="66"/>
      <c r="AJ33" s="66"/>
      <c r="AK33" s="60"/>
      <c r="AL33" s="247"/>
      <c r="AM33" s="248"/>
      <c r="AN33" s="248"/>
      <c r="AO33" s="60"/>
      <c r="AP33" s="60"/>
      <c r="BC33" s="247"/>
      <c r="BD33" s="247"/>
      <c r="BE33" s="247"/>
      <c r="BF33" s="247"/>
      <c r="BG33" s="60"/>
      <c r="BH33" s="60"/>
      <c r="BU33" s="247"/>
      <c r="BV33" s="247"/>
      <c r="BW33" s="247"/>
      <c r="BX33" s="247"/>
      <c r="BY33" s="60"/>
      <c r="BZ33" s="60"/>
      <c r="CM33" s="247"/>
      <c r="CN33" s="247"/>
      <c r="CO33" s="247"/>
      <c r="CP33" s="247"/>
      <c r="CQ33" s="247"/>
      <c r="CR33" s="247"/>
      <c r="CS33" s="60"/>
      <c r="CT33" s="60"/>
      <c r="DG33" s="247"/>
      <c r="DH33" s="247"/>
      <c r="DI33" s="247"/>
      <c r="DJ33" s="247"/>
      <c r="DK33" s="247"/>
      <c r="DL33" s="247"/>
      <c r="DM33" s="60"/>
      <c r="DN33" s="60"/>
      <c r="EA33" s="247"/>
      <c r="EB33" s="247"/>
      <c r="EC33" s="247"/>
      <c r="ED33" s="247"/>
      <c r="EE33" s="60"/>
      <c r="EF33" s="60"/>
      <c r="ES33" s="247"/>
      <c r="ET33" s="247"/>
      <c r="EU33" s="247"/>
      <c r="EV33" s="247"/>
      <c r="EW33" s="247"/>
      <c r="EX33" s="247"/>
      <c r="EY33" s="60"/>
      <c r="EZ33" s="60"/>
      <c r="FM33" s="247"/>
      <c r="FN33" s="247"/>
      <c r="FO33" s="247"/>
      <c r="FP33" s="247"/>
      <c r="FQ33" s="247"/>
      <c r="FR33" s="247"/>
      <c r="FS33" s="60"/>
      <c r="FT33" s="60"/>
      <c r="GG33" s="247"/>
      <c r="GH33" s="247"/>
      <c r="GI33" s="247"/>
      <c r="GJ33" s="247"/>
      <c r="GK33" s="247"/>
      <c r="GL33" s="247"/>
      <c r="GM33" s="247"/>
      <c r="GN33" s="60"/>
      <c r="GO33" s="60"/>
    </row>
    <row r="34" spans="1:203" s="65" customFormat="1" ht="33.75" hidden="1" customHeight="1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  <c r="U34" s="247"/>
      <c r="V34" s="247"/>
      <c r="W34" s="247"/>
      <c r="X34" s="59"/>
      <c r="Y34" s="59"/>
      <c r="Z34" s="59"/>
      <c r="AA34" s="59"/>
      <c r="AB34" s="60"/>
      <c r="AC34" s="60"/>
      <c r="AD34" s="60"/>
      <c r="AE34" s="59"/>
      <c r="AF34" s="59"/>
      <c r="AG34" s="59"/>
      <c r="AH34" s="60"/>
      <c r="AI34" s="61"/>
      <c r="AJ34" s="66"/>
      <c r="AK34" s="60"/>
      <c r="AL34" s="247"/>
      <c r="AM34" s="248"/>
      <c r="AN34" s="248"/>
      <c r="AO34" s="60"/>
      <c r="AP34" s="60"/>
      <c r="BC34" s="247"/>
      <c r="BD34" s="247"/>
      <c r="BE34" s="247"/>
      <c r="BF34" s="247"/>
      <c r="BG34" s="60"/>
      <c r="BH34" s="60"/>
      <c r="BU34" s="247"/>
      <c r="BV34" s="247"/>
      <c r="BW34" s="247"/>
      <c r="BX34" s="247"/>
      <c r="BY34" s="60"/>
      <c r="BZ34" s="60"/>
      <c r="CM34" s="247"/>
      <c r="CN34" s="247"/>
      <c r="CO34" s="247"/>
      <c r="CP34" s="247"/>
      <c r="CQ34" s="247"/>
      <c r="CR34" s="247"/>
      <c r="CS34" s="60"/>
      <c r="CT34" s="60"/>
      <c r="DG34" s="247"/>
      <c r="DH34" s="247"/>
      <c r="DI34" s="247"/>
      <c r="DJ34" s="247"/>
      <c r="DK34" s="247"/>
      <c r="DL34" s="247"/>
      <c r="DM34" s="60"/>
      <c r="DN34" s="60"/>
      <c r="EA34" s="247"/>
      <c r="EB34" s="247"/>
      <c r="EC34" s="247"/>
      <c r="ED34" s="247"/>
      <c r="EE34" s="60"/>
      <c r="EF34" s="60"/>
      <c r="ES34" s="247"/>
      <c r="ET34" s="247"/>
      <c r="EU34" s="247"/>
      <c r="EV34" s="247"/>
      <c r="EW34" s="247"/>
      <c r="EX34" s="247"/>
      <c r="EY34" s="60"/>
      <c r="EZ34" s="60"/>
      <c r="FM34" s="247"/>
      <c r="FN34" s="247"/>
      <c r="FO34" s="247"/>
      <c r="FP34" s="247"/>
      <c r="FQ34" s="247"/>
      <c r="FR34" s="247"/>
      <c r="FS34" s="60"/>
      <c r="FT34" s="60"/>
      <c r="GG34" s="247"/>
      <c r="GH34" s="247"/>
      <c r="GI34" s="247"/>
      <c r="GJ34" s="247"/>
      <c r="GK34" s="247"/>
      <c r="GL34" s="247"/>
      <c r="GM34" s="247"/>
      <c r="GN34" s="60"/>
      <c r="GO34" s="60"/>
    </row>
    <row r="35" spans="1:203" s="65" customFormat="1" ht="20.100000000000001" customHeight="1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  <c r="U35" s="247"/>
      <c r="V35" s="247"/>
      <c r="W35" s="247"/>
      <c r="X35" s="59"/>
      <c r="Y35" s="59"/>
      <c r="Z35" s="59"/>
      <c r="AA35" s="59"/>
      <c r="AB35" s="60"/>
      <c r="AC35" s="60"/>
      <c r="AD35" s="60"/>
      <c r="AE35" s="59"/>
      <c r="AF35" s="59"/>
      <c r="AG35" s="59"/>
      <c r="AH35" s="60"/>
      <c r="AI35" s="61"/>
      <c r="AJ35" s="66"/>
      <c r="AK35" s="60"/>
      <c r="AL35" s="247"/>
      <c r="AM35" s="248"/>
      <c r="AN35" s="248"/>
      <c r="AO35" s="60"/>
      <c r="AP35" s="60"/>
      <c r="BC35" s="247"/>
      <c r="BD35" s="247"/>
      <c r="BE35" s="247"/>
      <c r="BF35" s="247"/>
      <c r="BG35" s="60"/>
      <c r="BH35" s="60"/>
      <c r="BU35" s="247"/>
      <c r="BV35" s="247"/>
      <c r="BW35" s="247"/>
      <c r="BX35" s="247"/>
      <c r="BY35" s="60"/>
      <c r="BZ35" s="60"/>
      <c r="CM35" s="247"/>
      <c r="CN35" s="247"/>
      <c r="CO35" s="247"/>
      <c r="CP35" s="247"/>
      <c r="CQ35" s="247"/>
      <c r="CR35" s="247"/>
      <c r="CS35" s="60"/>
      <c r="CT35" s="60"/>
      <c r="DG35" s="247"/>
      <c r="DH35" s="247"/>
      <c r="DI35" s="247"/>
      <c r="DJ35" s="247"/>
      <c r="DK35" s="247"/>
      <c r="DL35" s="247"/>
      <c r="DM35" s="60"/>
      <c r="DN35" s="60"/>
      <c r="EA35" s="247"/>
      <c r="EB35" s="247"/>
      <c r="EC35" s="247"/>
      <c r="ED35" s="247"/>
      <c r="EE35" s="60"/>
      <c r="EF35" s="60"/>
      <c r="ES35" s="247"/>
      <c r="ET35" s="247"/>
      <c r="EU35" s="247"/>
      <c r="EV35" s="247"/>
      <c r="EW35" s="247"/>
      <c r="EX35" s="247"/>
      <c r="EY35" s="60"/>
      <c r="EZ35" s="60"/>
      <c r="FM35" s="247"/>
      <c r="FN35" s="247"/>
      <c r="FO35" s="247"/>
      <c r="FP35" s="247"/>
      <c r="FQ35" s="247"/>
      <c r="FR35" s="247"/>
      <c r="FS35" s="60"/>
      <c r="FT35" s="60"/>
      <c r="GG35" s="247"/>
      <c r="GH35" s="247"/>
      <c r="GI35" s="247"/>
      <c r="GJ35" s="247"/>
      <c r="GK35" s="247"/>
      <c r="GL35" s="247"/>
      <c r="GM35" s="247"/>
      <c r="GN35" s="60"/>
      <c r="GO35" s="60"/>
    </row>
    <row r="36" spans="1:203" s="65" customFormat="1" ht="17.25" customHeight="1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  <c r="U36" s="247"/>
      <c r="V36" s="247"/>
      <c r="W36" s="247"/>
      <c r="X36" s="59"/>
      <c r="Y36" s="59"/>
      <c r="Z36" s="59"/>
      <c r="AA36" s="59"/>
      <c r="AB36" s="60"/>
      <c r="AC36" s="60"/>
      <c r="AD36" s="60"/>
      <c r="AE36" s="59"/>
      <c r="AF36" s="59"/>
      <c r="AG36" s="59"/>
      <c r="AH36" s="60"/>
      <c r="AI36" s="61"/>
      <c r="AJ36" s="66"/>
      <c r="AK36" s="60"/>
      <c r="AL36" s="247"/>
      <c r="AM36" s="248"/>
      <c r="AN36" s="248"/>
      <c r="AO36" s="60"/>
      <c r="AP36" s="60"/>
      <c r="BC36" s="247"/>
      <c r="BD36" s="247"/>
      <c r="BE36" s="247"/>
      <c r="BF36" s="247"/>
      <c r="BG36" s="60"/>
      <c r="BH36" s="60"/>
      <c r="BU36" s="247"/>
      <c r="BV36" s="247"/>
      <c r="BW36" s="247"/>
      <c r="BX36" s="247"/>
      <c r="BY36" s="60"/>
      <c r="BZ36" s="60"/>
      <c r="CM36" s="247"/>
      <c r="CN36" s="247"/>
      <c r="CO36" s="247"/>
      <c r="CP36" s="247"/>
      <c r="CQ36" s="247"/>
      <c r="CR36" s="247"/>
      <c r="CS36" s="60"/>
      <c r="CT36" s="60"/>
      <c r="DG36" s="247"/>
      <c r="DH36" s="247"/>
      <c r="DI36" s="247"/>
      <c r="DJ36" s="247"/>
      <c r="DK36" s="247"/>
      <c r="DL36" s="247"/>
      <c r="DM36" s="60"/>
      <c r="DN36" s="60"/>
      <c r="EA36" s="247"/>
      <c r="EB36" s="247"/>
      <c r="EC36" s="247"/>
      <c r="ED36" s="247"/>
      <c r="EE36" s="60"/>
      <c r="EF36" s="60"/>
      <c r="ES36" s="247"/>
      <c r="ET36" s="247"/>
      <c r="EU36" s="247"/>
      <c r="EV36" s="247"/>
      <c r="EW36" s="247"/>
      <c r="EX36" s="247"/>
      <c r="EY36" s="60"/>
      <c r="EZ36" s="60"/>
      <c r="FM36" s="247"/>
      <c r="FN36" s="247"/>
      <c r="FO36" s="247"/>
      <c r="FP36" s="247"/>
      <c r="FQ36" s="247"/>
      <c r="FR36" s="247"/>
      <c r="FS36" s="60"/>
      <c r="FT36" s="60"/>
      <c r="GG36" s="247"/>
      <c r="GH36" s="247"/>
      <c r="GI36" s="247"/>
      <c r="GJ36" s="247"/>
      <c r="GK36" s="247"/>
      <c r="GL36" s="247"/>
      <c r="GM36" s="247"/>
      <c r="GN36" s="60"/>
      <c r="GO36" s="60"/>
    </row>
    <row r="37" spans="1:203" s="60" customFormat="1" ht="21.75" customHeight="1">
      <c r="A37" s="248"/>
      <c r="B37" s="248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59"/>
      <c r="Y37" s="59"/>
      <c r="Z37" s="59"/>
      <c r="AA37" s="59"/>
      <c r="AE37" s="59"/>
      <c r="AF37" s="59"/>
      <c r="AG37" s="59"/>
      <c r="AL37" s="248"/>
      <c r="AM37" s="248"/>
      <c r="AN37" s="248"/>
      <c r="BC37" s="248"/>
      <c r="BD37" s="248"/>
      <c r="BE37" s="248"/>
      <c r="BF37" s="248"/>
      <c r="BU37" s="248"/>
      <c r="BV37" s="248"/>
      <c r="BW37" s="248"/>
      <c r="BX37" s="248"/>
      <c r="CM37" s="248"/>
      <c r="CN37" s="248"/>
      <c r="CO37" s="248"/>
      <c r="CP37" s="248"/>
      <c r="CQ37" s="248"/>
      <c r="CR37" s="248"/>
      <c r="DG37" s="248"/>
      <c r="DH37" s="248"/>
      <c r="DI37" s="248"/>
      <c r="DJ37" s="248"/>
      <c r="DK37" s="248"/>
      <c r="DL37" s="248"/>
      <c r="EA37" s="248"/>
      <c r="EB37" s="248"/>
      <c r="EC37" s="248"/>
      <c r="ED37" s="248"/>
      <c r="ES37" s="248"/>
      <c r="ET37" s="248"/>
      <c r="EU37" s="248"/>
      <c r="EV37" s="248"/>
      <c r="EW37" s="248"/>
      <c r="EX37" s="248"/>
      <c r="FM37" s="248"/>
      <c r="FN37" s="248"/>
      <c r="FO37" s="248"/>
      <c r="FP37" s="248"/>
      <c r="FQ37" s="248"/>
      <c r="FR37" s="248"/>
      <c r="GG37" s="248"/>
      <c r="GH37" s="248"/>
      <c r="GI37" s="248"/>
      <c r="GJ37" s="248"/>
      <c r="GK37" s="248"/>
      <c r="GL37" s="248"/>
      <c r="GM37" s="248"/>
      <c r="GP37" s="65"/>
      <c r="GQ37" s="65"/>
      <c r="GR37" s="65"/>
      <c r="GS37" s="65"/>
      <c r="GT37" s="65"/>
      <c r="GU37" s="65"/>
    </row>
    <row r="38" spans="1:203" s="60" customFormat="1">
      <c r="A38" s="248"/>
      <c r="B38" s="248"/>
      <c r="C38" s="248"/>
      <c r="D38" s="248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  <c r="T38" s="248"/>
      <c r="U38" s="248"/>
      <c r="V38" s="248"/>
      <c r="W38" s="248"/>
      <c r="X38" s="59"/>
      <c r="Y38" s="59"/>
      <c r="Z38" s="59"/>
      <c r="AA38" s="59"/>
      <c r="AE38" s="59"/>
      <c r="AF38" s="59"/>
      <c r="AG38" s="59"/>
      <c r="AL38" s="248"/>
      <c r="AM38" s="248"/>
      <c r="AN38" s="248"/>
      <c r="BC38" s="248"/>
      <c r="BD38" s="248"/>
      <c r="BE38" s="248"/>
      <c r="BF38" s="248"/>
      <c r="BU38" s="248"/>
      <c r="BV38" s="248"/>
      <c r="BW38" s="248"/>
      <c r="BX38" s="248"/>
      <c r="CM38" s="248"/>
      <c r="CN38" s="248"/>
      <c r="CO38" s="248"/>
      <c r="CP38" s="248"/>
      <c r="CQ38" s="248"/>
      <c r="CR38" s="248"/>
      <c r="DG38" s="248"/>
      <c r="DH38" s="248"/>
      <c r="DI38" s="248"/>
      <c r="DJ38" s="248"/>
      <c r="DK38" s="248"/>
      <c r="DL38" s="248"/>
      <c r="EA38" s="248"/>
      <c r="EB38" s="248"/>
      <c r="EC38" s="248"/>
      <c r="ED38" s="248"/>
      <c r="ES38" s="248"/>
      <c r="ET38" s="248"/>
      <c r="EU38" s="248"/>
      <c r="EV38" s="248"/>
      <c r="EW38" s="248"/>
      <c r="EX38" s="248"/>
      <c r="FM38" s="248"/>
      <c r="FN38" s="248"/>
      <c r="FO38" s="248"/>
      <c r="FP38" s="248"/>
      <c r="FQ38" s="248"/>
      <c r="FR38" s="248"/>
      <c r="GG38" s="248"/>
      <c r="GH38" s="248"/>
      <c r="GI38" s="248"/>
      <c r="GJ38" s="248"/>
      <c r="GK38" s="248"/>
      <c r="GL38" s="248"/>
      <c r="GM38" s="248"/>
    </row>
    <row r="39" spans="1:203" s="60" customFormat="1">
      <c r="A39" s="248"/>
      <c r="B39" s="248"/>
      <c r="C39" s="248"/>
      <c r="D39" s="248"/>
      <c r="E39" s="248"/>
      <c r="F39" s="248"/>
      <c r="G39" s="248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  <c r="T39" s="248"/>
      <c r="U39" s="248"/>
      <c r="V39" s="248"/>
      <c r="W39" s="248"/>
      <c r="X39" s="59"/>
      <c r="Y39" s="59"/>
      <c r="Z39" s="59"/>
      <c r="AA39" s="59"/>
      <c r="AE39" s="59"/>
      <c r="AF39" s="59"/>
      <c r="AG39" s="59"/>
      <c r="AL39" s="248"/>
      <c r="AM39" s="54"/>
      <c r="AN39" s="54"/>
      <c r="AO39" s="59"/>
      <c r="AP39" s="59"/>
      <c r="BC39" s="248"/>
      <c r="BD39" s="248"/>
      <c r="BE39" s="248"/>
      <c r="BF39" s="248"/>
      <c r="BG39" s="59"/>
      <c r="BH39" s="59"/>
      <c r="BU39" s="248"/>
      <c r="BV39" s="248"/>
      <c r="BW39" s="248"/>
      <c r="BX39" s="248"/>
      <c r="BY39" s="59"/>
      <c r="BZ39" s="59"/>
      <c r="CM39" s="248"/>
      <c r="CN39" s="248"/>
      <c r="CO39" s="248"/>
      <c r="CP39" s="248"/>
      <c r="CQ39" s="248"/>
      <c r="CR39" s="248"/>
      <c r="CS39" s="59"/>
      <c r="CT39" s="59"/>
      <c r="DG39" s="248"/>
      <c r="DH39" s="248"/>
      <c r="DI39" s="248"/>
      <c r="DJ39" s="248"/>
      <c r="DK39" s="248"/>
      <c r="DL39" s="248"/>
      <c r="DM39" s="59"/>
      <c r="DN39" s="59"/>
      <c r="EA39" s="248"/>
      <c r="EB39" s="248"/>
      <c r="EC39" s="248"/>
      <c r="ED39" s="248"/>
      <c r="EE39" s="59"/>
      <c r="EF39" s="59"/>
      <c r="ES39" s="248"/>
      <c r="ET39" s="248"/>
      <c r="EU39" s="248"/>
      <c r="EV39" s="248"/>
      <c r="EW39" s="248"/>
      <c r="EX39" s="248"/>
      <c r="EY39" s="59"/>
      <c r="EZ39" s="59"/>
      <c r="FM39" s="248"/>
      <c r="FN39" s="248"/>
      <c r="FO39" s="248"/>
      <c r="FP39" s="248"/>
      <c r="FQ39" s="248"/>
      <c r="FR39" s="248"/>
      <c r="FS39" s="59"/>
      <c r="FT39" s="59"/>
      <c r="GG39" s="248"/>
      <c r="GH39" s="248"/>
      <c r="GI39" s="248"/>
      <c r="GJ39" s="248"/>
      <c r="GK39" s="248"/>
      <c r="GL39" s="248"/>
      <c r="GM39" s="248"/>
      <c r="GN39" s="59"/>
    </row>
    <row r="40" spans="1:203" s="60" customFormat="1">
      <c r="A40" s="248"/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  <c r="T40" s="248"/>
      <c r="U40" s="248"/>
      <c r="V40" s="248"/>
      <c r="W40" s="248"/>
      <c r="X40" s="59"/>
      <c r="Y40" s="59"/>
      <c r="Z40" s="59"/>
      <c r="AA40" s="59"/>
      <c r="AE40" s="59"/>
      <c r="AF40" s="59"/>
      <c r="AG40" s="59"/>
      <c r="AL40" s="248"/>
      <c r="AM40" s="54"/>
      <c r="AN40" s="54"/>
      <c r="AO40" s="59"/>
      <c r="AP40" s="59"/>
      <c r="BC40" s="248"/>
      <c r="BD40" s="248"/>
      <c r="BE40" s="248"/>
      <c r="BF40" s="248"/>
      <c r="BG40" s="59"/>
      <c r="BH40" s="59"/>
      <c r="BU40" s="248"/>
      <c r="BV40" s="248"/>
      <c r="BW40" s="248"/>
      <c r="BX40" s="248"/>
      <c r="BY40" s="59"/>
      <c r="BZ40" s="59"/>
      <c r="CM40" s="248"/>
      <c r="CN40" s="248"/>
      <c r="CO40" s="248"/>
      <c r="CP40" s="248"/>
      <c r="CQ40" s="248"/>
      <c r="CR40" s="248"/>
      <c r="CS40" s="59"/>
      <c r="CT40" s="59"/>
      <c r="DG40" s="248"/>
      <c r="DH40" s="248"/>
      <c r="DI40" s="248"/>
      <c r="DJ40" s="248"/>
      <c r="DK40" s="248"/>
      <c r="DL40" s="248"/>
      <c r="DM40" s="59"/>
      <c r="DN40" s="59"/>
      <c r="EA40" s="248"/>
      <c r="EB40" s="248"/>
      <c r="EC40" s="248"/>
      <c r="ED40" s="248"/>
      <c r="EE40" s="59"/>
      <c r="EF40" s="59"/>
      <c r="ES40" s="248"/>
      <c r="ET40" s="248"/>
      <c r="EU40" s="248"/>
      <c r="EV40" s="248"/>
      <c r="EW40" s="248"/>
      <c r="EX40" s="248"/>
      <c r="EY40" s="59"/>
      <c r="EZ40" s="59"/>
      <c r="FM40" s="248"/>
      <c r="FN40" s="248"/>
      <c r="FO40" s="248"/>
      <c r="FP40" s="248"/>
      <c r="FQ40" s="248"/>
      <c r="FR40" s="248"/>
      <c r="FS40" s="59"/>
      <c r="FT40" s="59"/>
      <c r="GG40" s="248"/>
      <c r="GH40" s="248"/>
      <c r="GI40" s="248"/>
      <c r="GJ40" s="248"/>
      <c r="GK40" s="248"/>
      <c r="GL40" s="248"/>
      <c r="GM40" s="248"/>
      <c r="GN40" s="59"/>
      <c r="GO40" s="59"/>
    </row>
    <row r="41" spans="1:203" s="60" customFormat="1">
      <c r="A41" s="248"/>
      <c r="B41" s="248"/>
      <c r="C41" s="248"/>
      <c r="D41" s="248"/>
      <c r="E41" s="248"/>
      <c r="F41" s="248"/>
      <c r="G41" s="248"/>
      <c r="H41" s="248"/>
      <c r="I41" s="248"/>
      <c r="J41" s="248"/>
      <c r="K41" s="248"/>
      <c r="L41" s="248"/>
      <c r="M41" s="248"/>
      <c r="N41" s="248"/>
      <c r="O41" s="248"/>
      <c r="P41" s="248"/>
      <c r="Q41" s="248"/>
      <c r="R41" s="248"/>
      <c r="S41" s="248"/>
      <c r="T41" s="248"/>
      <c r="U41" s="248"/>
      <c r="V41" s="248"/>
      <c r="W41" s="248"/>
      <c r="X41" s="59"/>
      <c r="Y41" s="59"/>
      <c r="Z41" s="59"/>
      <c r="AA41" s="59"/>
      <c r="AE41" s="59"/>
      <c r="AF41" s="59"/>
      <c r="AG41" s="59"/>
      <c r="AL41" s="248"/>
      <c r="AM41" s="54"/>
      <c r="AN41" s="54"/>
      <c r="AO41" s="59"/>
      <c r="AP41" s="59"/>
      <c r="BC41" s="248"/>
      <c r="BD41" s="248"/>
      <c r="BE41" s="248"/>
      <c r="BF41" s="248"/>
      <c r="BG41" s="59"/>
      <c r="BH41" s="59"/>
      <c r="BU41" s="248"/>
      <c r="BV41" s="248"/>
      <c r="BW41" s="248"/>
      <c r="BX41" s="248"/>
      <c r="BY41" s="59"/>
      <c r="BZ41" s="59"/>
      <c r="CM41" s="248"/>
      <c r="CN41" s="248"/>
      <c r="CO41" s="248"/>
      <c r="CP41" s="248"/>
      <c r="CQ41" s="248"/>
      <c r="CR41" s="248"/>
      <c r="CS41" s="59"/>
      <c r="CT41" s="59"/>
      <c r="DG41" s="248"/>
      <c r="DH41" s="248"/>
      <c r="DI41" s="248"/>
      <c r="DJ41" s="248"/>
      <c r="DK41" s="248"/>
      <c r="DL41" s="248"/>
      <c r="DM41" s="59"/>
      <c r="DN41" s="59"/>
      <c r="EA41" s="248"/>
      <c r="EB41" s="248"/>
      <c r="EC41" s="248"/>
      <c r="ED41" s="248"/>
      <c r="EE41" s="59"/>
      <c r="EF41" s="59"/>
      <c r="ES41" s="248"/>
      <c r="ET41" s="248"/>
      <c r="EU41" s="248"/>
      <c r="EV41" s="248"/>
      <c r="EW41" s="248"/>
      <c r="EX41" s="248"/>
      <c r="EY41" s="59"/>
      <c r="EZ41" s="59"/>
      <c r="FM41" s="248"/>
      <c r="FN41" s="248"/>
      <c r="FO41" s="248"/>
      <c r="FP41" s="248"/>
      <c r="FQ41" s="248"/>
      <c r="FR41" s="248"/>
      <c r="FS41" s="59"/>
      <c r="FT41" s="59"/>
      <c r="GG41" s="248"/>
      <c r="GH41" s="248"/>
      <c r="GI41" s="248"/>
      <c r="GJ41" s="248"/>
      <c r="GK41" s="248"/>
      <c r="GL41" s="248"/>
      <c r="GM41" s="248"/>
      <c r="GN41" s="59"/>
      <c r="GO41" s="59"/>
    </row>
    <row r="42" spans="1:203" s="60" customFormat="1">
      <c r="A42" s="248"/>
      <c r="B42" s="248"/>
      <c r="C42" s="248"/>
      <c r="D42" s="248"/>
      <c r="E42" s="248"/>
      <c r="F42" s="248"/>
      <c r="G42" s="248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  <c r="T42" s="248"/>
      <c r="U42" s="248"/>
      <c r="V42" s="248"/>
      <c r="W42" s="248"/>
      <c r="X42" s="59"/>
      <c r="Y42" s="59"/>
      <c r="Z42" s="59"/>
      <c r="AA42" s="59"/>
      <c r="AE42" s="59"/>
      <c r="AF42" s="59"/>
      <c r="AG42" s="59"/>
      <c r="AL42" s="248"/>
      <c r="AM42" s="54"/>
      <c r="AN42" s="54"/>
      <c r="AO42" s="59"/>
      <c r="AP42" s="59"/>
      <c r="BC42" s="248"/>
      <c r="BD42" s="248"/>
      <c r="BE42" s="248"/>
      <c r="BF42" s="248"/>
      <c r="BG42" s="59"/>
      <c r="BH42" s="59"/>
      <c r="BU42" s="248"/>
      <c r="BV42" s="248"/>
      <c r="BW42" s="248"/>
      <c r="BX42" s="248"/>
      <c r="BY42" s="59"/>
      <c r="BZ42" s="59"/>
      <c r="CM42" s="248"/>
      <c r="CN42" s="248"/>
      <c r="CO42" s="248"/>
      <c r="CP42" s="248"/>
      <c r="CQ42" s="248"/>
      <c r="CR42" s="248"/>
      <c r="CS42" s="59"/>
      <c r="CT42" s="59"/>
      <c r="DG42" s="248"/>
      <c r="DH42" s="248"/>
      <c r="DI42" s="248"/>
      <c r="DJ42" s="248"/>
      <c r="DK42" s="248"/>
      <c r="DL42" s="248"/>
      <c r="DM42" s="59"/>
      <c r="DN42" s="59"/>
      <c r="EA42" s="248"/>
      <c r="EB42" s="248"/>
      <c r="EC42" s="248"/>
      <c r="ED42" s="248"/>
      <c r="EE42" s="59"/>
      <c r="EF42" s="59"/>
      <c r="ES42" s="248"/>
      <c r="ET42" s="248"/>
      <c r="EU42" s="248"/>
      <c r="EV42" s="248"/>
      <c r="EW42" s="248"/>
      <c r="EX42" s="248"/>
      <c r="EY42" s="59"/>
      <c r="EZ42" s="59"/>
      <c r="FM42" s="248"/>
      <c r="FN42" s="248"/>
      <c r="FO42" s="248"/>
      <c r="FP42" s="248"/>
      <c r="FQ42" s="248"/>
      <c r="FR42" s="248"/>
      <c r="FS42" s="59"/>
      <c r="FT42" s="59"/>
      <c r="GG42" s="248"/>
      <c r="GH42" s="248"/>
      <c r="GI42" s="248"/>
      <c r="GJ42" s="248"/>
      <c r="GK42" s="248"/>
      <c r="GL42" s="248"/>
      <c r="GM42" s="248"/>
      <c r="GN42" s="59"/>
      <c r="GO42" s="59"/>
    </row>
    <row r="43" spans="1:203" s="60" customFormat="1">
      <c r="A43" s="248"/>
      <c r="B43" s="248"/>
      <c r="C43" s="248"/>
      <c r="D43" s="248"/>
      <c r="E43" s="248"/>
      <c r="F43" s="248"/>
      <c r="G43" s="248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  <c r="T43" s="248"/>
      <c r="U43" s="248"/>
      <c r="V43" s="248"/>
      <c r="W43" s="248"/>
      <c r="X43" s="59"/>
      <c r="Y43" s="59"/>
      <c r="Z43" s="59"/>
      <c r="AA43" s="59"/>
      <c r="AE43" s="59"/>
      <c r="AF43" s="59"/>
      <c r="AG43" s="59"/>
      <c r="AL43" s="248"/>
      <c r="AM43" s="54"/>
      <c r="AN43" s="54"/>
      <c r="AO43" s="59"/>
      <c r="AP43" s="59"/>
      <c r="BC43" s="248"/>
      <c r="BD43" s="248"/>
      <c r="BE43" s="248"/>
      <c r="BF43" s="248"/>
      <c r="BG43" s="59"/>
      <c r="BH43" s="59"/>
      <c r="BU43" s="248"/>
      <c r="BV43" s="248"/>
      <c r="BW43" s="248"/>
      <c r="BX43" s="248"/>
      <c r="BY43" s="59"/>
      <c r="BZ43" s="59"/>
      <c r="CM43" s="248"/>
      <c r="CN43" s="248"/>
      <c r="CO43" s="248"/>
      <c r="CP43" s="248"/>
      <c r="CQ43" s="248"/>
      <c r="CR43" s="248"/>
      <c r="CS43" s="59"/>
      <c r="CT43" s="59"/>
      <c r="DG43" s="248"/>
      <c r="DH43" s="248"/>
      <c r="DI43" s="248"/>
      <c r="DJ43" s="248"/>
      <c r="DK43" s="248"/>
      <c r="DL43" s="248"/>
      <c r="DM43" s="59"/>
      <c r="DN43" s="59"/>
      <c r="EA43" s="248"/>
      <c r="EB43" s="248"/>
      <c r="EC43" s="248"/>
      <c r="ED43" s="248"/>
      <c r="EE43" s="59"/>
      <c r="EF43" s="59"/>
      <c r="ES43" s="248"/>
      <c r="ET43" s="248"/>
      <c r="EU43" s="248"/>
      <c r="EV43" s="248"/>
      <c r="EW43" s="248"/>
      <c r="EX43" s="248"/>
      <c r="EY43" s="59"/>
      <c r="EZ43" s="59"/>
      <c r="FM43" s="248"/>
      <c r="FN43" s="248"/>
      <c r="FO43" s="248"/>
      <c r="FP43" s="248"/>
      <c r="FQ43" s="248"/>
      <c r="FR43" s="248"/>
      <c r="FS43" s="59"/>
      <c r="FT43" s="59"/>
      <c r="GG43" s="248"/>
      <c r="GH43" s="248"/>
      <c r="GI43" s="248"/>
      <c r="GJ43" s="248"/>
      <c r="GK43" s="248"/>
      <c r="GL43" s="248"/>
      <c r="GM43" s="248"/>
      <c r="GN43" s="59"/>
      <c r="GO43" s="59"/>
    </row>
    <row r="44" spans="1:203">
      <c r="GP44" s="60"/>
      <c r="GQ44" s="60"/>
      <c r="GR44" s="60"/>
      <c r="GS44" s="60"/>
      <c r="GT44" s="60"/>
      <c r="GU44" s="60"/>
    </row>
  </sheetData>
  <mergeCells count="229">
    <mergeCell ref="F20:G21"/>
    <mergeCell ref="L13:M14"/>
    <mergeCell ref="L16:M17"/>
    <mergeCell ref="L18:M19"/>
    <mergeCell ref="L6:M7"/>
    <mergeCell ref="O6:P19"/>
    <mergeCell ref="C13:D14"/>
    <mergeCell ref="C18:D19"/>
    <mergeCell ref="C16:D17"/>
    <mergeCell ref="F6:G7"/>
    <mergeCell ref="F8:G9"/>
    <mergeCell ref="F11:G12"/>
    <mergeCell ref="F13:G14"/>
    <mergeCell ref="F16:G17"/>
    <mergeCell ref="F18:G19"/>
    <mergeCell ref="C1:M1"/>
    <mergeCell ref="I3:J3"/>
    <mergeCell ref="C8:D9"/>
    <mergeCell ref="C6:D7"/>
    <mergeCell ref="C11:D12"/>
    <mergeCell ref="I6:J7"/>
    <mergeCell ref="I8:J9"/>
    <mergeCell ref="L11:M12"/>
    <mergeCell ref="GD25:GE25"/>
    <mergeCell ref="FW7:FX7"/>
    <mergeCell ref="FY7:FZ7"/>
    <mergeCell ref="FW8:FX8"/>
    <mergeCell ref="FY8:FZ8"/>
    <mergeCell ref="FW9:FX9"/>
    <mergeCell ref="FY9:FZ9"/>
    <mergeCell ref="FT1:GF2"/>
    <mergeCell ref="FT3:FU3"/>
    <mergeCell ref="FV3:FW3"/>
    <mergeCell ref="FT5:FU5"/>
    <mergeCell ref="FV5:FZ6"/>
    <mergeCell ref="GB5:GE5"/>
    <mergeCell ref="FB12:FC12"/>
    <mergeCell ref="EZ13:FA13"/>
    <mergeCell ref="FB13:FC13"/>
    <mergeCell ref="GO1:HA2"/>
    <mergeCell ref="GO3:GP3"/>
    <mergeCell ref="GQ3:GR3"/>
    <mergeCell ref="GW5:GZ5"/>
    <mergeCell ref="GT7:GU7"/>
    <mergeCell ref="GT8:GU8"/>
    <mergeCell ref="GT9:GU9"/>
    <mergeCell ref="GO12:GP12"/>
    <mergeCell ref="GQ12:GR12"/>
    <mergeCell ref="GR8:GS8"/>
    <mergeCell ref="GR9:GS9"/>
    <mergeCell ref="GO5:GP5"/>
    <mergeCell ref="GQ5:GU6"/>
    <mergeCell ref="GR7:GS7"/>
    <mergeCell ref="GO13:GP13"/>
    <mergeCell ref="GQ13:GR13"/>
    <mergeCell ref="GO14:GP14"/>
    <mergeCell ref="GQ14:GR14"/>
    <mergeCell ref="GY25:GZ25"/>
    <mergeCell ref="GT10:GU10"/>
    <mergeCell ref="FT11:FU11"/>
    <mergeCell ref="FV11:FW11"/>
    <mergeCell ref="FT12:FU12"/>
    <mergeCell ref="FV12:FW12"/>
    <mergeCell ref="FT13:FU13"/>
    <mergeCell ref="FV13:FW13"/>
    <mergeCell ref="GR10:GS10"/>
    <mergeCell ref="FJ25:FK25"/>
    <mergeCell ref="I11:J14"/>
    <mergeCell ref="I16:J19"/>
    <mergeCell ref="EP25:EQ25"/>
    <mergeCell ref="EZ1:FL2"/>
    <mergeCell ref="EZ3:FA3"/>
    <mergeCell ref="FB3:FC3"/>
    <mergeCell ref="EZ5:FA5"/>
    <mergeCell ref="FB5:FF6"/>
    <mergeCell ref="FH5:FK5"/>
    <mergeCell ref="FC7:FD7"/>
    <mergeCell ref="FE7:FF7"/>
    <mergeCell ref="FC8:FD8"/>
    <mergeCell ref="FE8:FF8"/>
    <mergeCell ref="FC9:FD9"/>
    <mergeCell ref="FE9:FF9"/>
    <mergeCell ref="EZ11:FA11"/>
    <mergeCell ref="FB11:FC11"/>
    <mergeCell ref="EZ12:FA12"/>
    <mergeCell ref="EF11:EG11"/>
    <mergeCell ref="EH11:EI11"/>
    <mergeCell ref="EF12:EG12"/>
    <mergeCell ref="EH12:EI12"/>
    <mergeCell ref="EF13:EG13"/>
    <mergeCell ref="EK7:EL7"/>
    <mergeCell ref="EI8:EJ8"/>
    <mergeCell ref="EK8:EL8"/>
    <mergeCell ref="EI9:EJ9"/>
    <mergeCell ref="EK9:EL9"/>
    <mergeCell ref="EF1:ER2"/>
    <mergeCell ref="EF3:EG3"/>
    <mergeCell ref="EH3:EI3"/>
    <mergeCell ref="EF5:EG5"/>
    <mergeCell ref="EH5:EL6"/>
    <mergeCell ref="EN5:EQ5"/>
    <mergeCell ref="DN13:DO13"/>
    <mergeCell ref="DP13:DQ13"/>
    <mergeCell ref="DQ7:DR7"/>
    <mergeCell ref="DS7:DT7"/>
    <mergeCell ref="DQ8:DR8"/>
    <mergeCell ref="DS8:DT8"/>
    <mergeCell ref="DQ9:DR9"/>
    <mergeCell ref="DS9:DT9"/>
    <mergeCell ref="EH13:EI13"/>
    <mergeCell ref="EI7:EJ7"/>
    <mergeCell ref="DN1:DZ2"/>
    <mergeCell ref="DN3:DO3"/>
    <mergeCell ref="DP3:DQ3"/>
    <mergeCell ref="DN5:DO5"/>
    <mergeCell ref="DP5:DT6"/>
    <mergeCell ref="DV5:DY5"/>
    <mergeCell ref="CT11:CU11"/>
    <mergeCell ref="CV11:CW11"/>
    <mergeCell ref="CT12:CU12"/>
    <mergeCell ref="CV12:CW12"/>
    <mergeCell ref="DN11:DO11"/>
    <mergeCell ref="DP11:DQ11"/>
    <mergeCell ref="DN12:DO12"/>
    <mergeCell ref="DP12:DQ12"/>
    <mergeCell ref="CT13:CU13"/>
    <mergeCell ref="CV13:CW13"/>
    <mergeCell ref="CW7:CX7"/>
    <mergeCell ref="CY7:CZ7"/>
    <mergeCell ref="CW8:CX8"/>
    <mergeCell ref="CY8:CZ8"/>
    <mergeCell ref="CW9:CX9"/>
    <mergeCell ref="CY9:CZ9"/>
    <mergeCell ref="CT1:DF2"/>
    <mergeCell ref="CT3:CU3"/>
    <mergeCell ref="CV3:CW3"/>
    <mergeCell ref="CT5:CU5"/>
    <mergeCell ref="CV5:CZ6"/>
    <mergeCell ref="DB5:DE5"/>
    <mergeCell ref="CB11:CC11"/>
    <mergeCell ref="BZ12:CA12"/>
    <mergeCell ref="CB12:CC12"/>
    <mergeCell ref="BZ13:CA13"/>
    <mergeCell ref="CB13:CC13"/>
    <mergeCell ref="CC7:CD7"/>
    <mergeCell ref="CE7:CF7"/>
    <mergeCell ref="CC8:CD8"/>
    <mergeCell ref="CE8:CF8"/>
    <mergeCell ref="CC9:CD9"/>
    <mergeCell ref="CE9:CF9"/>
    <mergeCell ref="BZ3:CA3"/>
    <mergeCell ref="CB3:CC3"/>
    <mergeCell ref="BZ5:CA5"/>
    <mergeCell ref="CB5:CF6"/>
    <mergeCell ref="CH5:CK5"/>
    <mergeCell ref="AZ25:BA25"/>
    <mergeCell ref="BH1:BT2"/>
    <mergeCell ref="BH3:BI3"/>
    <mergeCell ref="BJ3:BK3"/>
    <mergeCell ref="BH5:BI5"/>
    <mergeCell ref="BJ5:BN6"/>
    <mergeCell ref="BP5:BS5"/>
    <mergeCell ref="BK7:BL7"/>
    <mergeCell ref="BM7:BN7"/>
    <mergeCell ref="BK8:BL8"/>
    <mergeCell ref="BM8:BN8"/>
    <mergeCell ref="BK9:BL9"/>
    <mergeCell ref="BM9:BN9"/>
    <mergeCell ref="BH11:BI11"/>
    <mergeCell ref="BJ11:BK11"/>
    <mergeCell ref="BH12:BI12"/>
    <mergeCell ref="AP1:BB2"/>
    <mergeCell ref="AR3:AS3"/>
    <mergeCell ref="BZ11:CA11"/>
    <mergeCell ref="AI27:AJ27"/>
    <mergeCell ref="Y12:Z12"/>
    <mergeCell ref="AA12:AB12"/>
    <mergeCell ref="Y13:Z13"/>
    <mergeCell ref="AA13:AB13"/>
    <mergeCell ref="AB7:AC7"/>
    <mergeCell ref="AB8:AC8"/>
    <mergeCell ref="Y11:Z11"/>
    <mergeCell ref="AA11:AB11"/>
    <mergeCell ref="AP5:AQ5"/>
    <mergeCell ref="AR5:AV6"/>
    <mergeCell ref="AX5:BA5"/>
    <mergeCell ref="AD7:AE7"/>
    <mergeCell ref="AD8:AE8"/>
    <mergeCell ref="AD9:AE9"/>
    <mergeCell ref="AB9:AC9"/>
    <mergeCell ref="AI25:AJ25"/>
    <mergeCell ref="AI26:AJ26"/>
    <mergeCell ref="AP11:AQ11"/>
    <mergeCell ref="AR11:AS11"/>
    <mergeCell ref="AP12:AQ12"/>
    <mergeCell ref="AU23:BA23"/>
    <mergeCell ref="DX25:DY25"/>
    <mergeCell ref="DD25:DE25"/>
    <mergeCell ref="CJ25:CK25"/>
    <mergeCell ref="BR25:BS25"/>
    <mergeCell ref="BJ12:BK12"/>
    <mergeCell ref="BH13:BI13"/>
    <mergeCell ref="BJ13:BK13"/>
    <mergeCell ref="AP3:AQ3"/>
    <mergeCell ref="Y1:AK2"/>
    <mergeCell ref="Y3:Z3"/>
    <mergeCell ref="AA3:AB3"/>
    <mergeCell ref="Y5:Z5"/>
    <mergeCell ref="AA5:AE6"/>
    <mergeCell ref="AG5:AJ5"/>
    <mergeCell ref="AR12:AS12"/>
    <mergeCell ref="AP13:AQ13"/>
    <mergeCell ref="AR13:AS13"/>
    <mergeCell ref="AS7:AT7"/>
    <mergeCell ref="AU7:AV7"/>
    <mergeCell ref="AS8:AT8"/>
    <mergeCell ref="AU8:AV8"/>
    <mergeCell ref="AS9:AT9"/>
    <mergeCell ref="AU9:AV9"/>
    <mergeCell ref="BZ1:CL2"/>
    <mergeCell ref="CY23:DE23"/>
    <mergeCell ref="EK23:EQ23"/>
    <mergeCell ref="GT23:GZ23"/>
    <mergeCell ref="BM23:BS23"/>
    <mergeCell ref="FY23:GE23"/>
    <mergeCell ref="AD23:AJ23"/>
    <mergeCell ref="CE23:CK23"/>
    <mergeCell ref="DS23:DY23"/>
    <mergeCell ref="FE23:FK23"/>
  </mergeCells>
  <conditionalFormatting sqref="Y8:AA9 Y7">
    <cfRule type="duplicateValues" dxfId="67" priority="42"/>
  </conditionalFormatting>
  <conditionalFormatting sqref="Y8:Z9">
    <cfRule type="duplicateValues" dxfId="66" priority="41"/>
  </conditionalFormatting>
  <conditionalFormatting sqref="AD8:AD9">
    <cfRule type="duplicateValues" dxfId="65" priority="34"/>
  </conditionalFormatting>
  <conditionalFormatting sqref="AP8:AR9 AP7">
    <cfRule type="duplicateValues" dxfId="64" priority="33"/>
  </conditionalFormatting>
  <conditionalFormatting sqref="AP8:AQ9">
    <cfRule type="duplicateValues" dxfId="63" priority="32"/>
  </conditionalFormatting>
  <conditionalFormatting sqref="AU8:AU9">
    <cfRule type="duplicateValues" dxfId="62" priority="31"/>
  </conditionalFormatting>
  <conditionalFormatting sqref="BH8:BJ9 BH7">
    <cfRule type="duplicateValues" dxfId="61" priority="30"/>
  </conditionalFormatting>
  <conditionalFormatting sqref="BH8:BI9">
    <cfRule type="duplicateValues" dxfId="60" priority="29"/>
  </conditionalFormatting>
  <conditionalFormatting sqref="BM8:BM9">
    <cfRule type="duplicateValues" dxfId="59" priority="28"/>
  </conditionalFormatting>
  <conditionalFormatting sqref="BZ8:CB9 BZ7">
    <cfRule type="duplicateValues" dxfId="58" priority="27"/>
  </conditionalFormatting>
  <conditionalFormatting sqref="BZ8:CA9">
    <cfRule type="duplicateValues" dxfId="57" priority="26"/>
  </conditionalFormatting>
  <conditionalFormatting sqref="CE8:CE9">
    <cfRule type="duplicateValues" dxfId="56" priority="25"/>
  </conditionalFormatting>
  <conditionalFormatting sqref="CT8:CV9 CT7">
    <cfRule type="duplicateValues" dxfId="55" priority="24"/>
  </conditionalFormatting>
  <conditionalFormatting sqref="CT8:CU9">
    <cfRule type="duplicateValues" dxfId="54" priority="23"/>
  </conditionalFormatting>
  <conditionalFormatting sqref="CY8:CY9">
    <cfRule type="duplicateValues" dxfId="53" priority="22"/>
  </conditionalFormatting>
  <conditionalFormatting sqref="DN9:DP9 DN7:DN8 DP8">
    <cfRule type="duplicateValues" dxfId="52" priority="21"/>
  </conditionalFormatting>
  <conditionalFormatting sqref="DN9:DO9 DN8">
    <cfRule type="duplicateValues" dxfId="51" priority="20"/>
  </conditionalFormatting>
  <conditionalFormatting sqref="DS8:DS9">
    <cfRule type="duplicateValues" dxfId="50" priority="19"/>
  </conditionalFormatting>
  <conditionalFormatting sqref="EF8:EH9 EF7">
    <cfRule type="duplicateValues" dxfId="49" priority="18"/>
  </conditionalFormatting>
  <conditionalFormatting sqref="EF8:EG9">
    <cfRule type="duplicateValues" dxfId="48" priority="17"/>
  </conditionalFormatting>
  <conditionalFormatting sqref="EK8:EK9">
    <cfRule type="duplicateValues" dxfId="47" priority="16"/>
  </conditionalFormatting>
  <conditionalFormatting sqref="EZ8:FB9 EZ7">
    <cfRule type="duplicateValues" dxfId="46" priority="15"/>
  </conditionalFormatting>
  <conditionalFormatting sqref="EZ8:FA9">
    <cfRule type="duplicateValues" dxfId="45" priority="14"/>
  </conditionalFormatting>
  <conditionalFormatting sqref="FE8:FE9">
    <cfRule type="duplicateValues" dxfId="44" priority="13"/>
  </conditionalFormatting>
  <conditionalFormatting sqref="FT8:FV9 FT7">
    <cfRule type="duplicateValues" dxfId="43" priority="12"/>
  </conditionalFormatting>
  <conditionalFormatting sqref="FT8:FU9">
    <cfRule type="duplicateValues" dxfId="42" priority="11"/>
  </conditionalFormatting>
  <conditionalFormatting sqref="FY8:FY9">
    <cfRule type="duplicateValues" dxfId="41" priority="10"/>
  </conditionalFormatting>
  <conditionalFormatting sqref="GO7:GO10">
    <cfRule type="duplicateValues" dxfId="40" priority="9"/>
  </conditionalFormatting>
  <conditionalFormatting sqref="GO8:GO10">
    <cfRule type="duplicateValues" dxfId="39" priority="8"/>
  </conditionalFormatting>
  <conditionalFormatting sqref="Q6:Q19">
    <cfRule type="duplicateValues" dxfId="38" priority="4"/>
  </conditionalFormatting>
  <conditionalFormatting sqref="I3:J3 B20:F20 B6:N19 Q6:R19 H20:R20">
    <cfRule type="duplicateValues" dxfId="37" priority="2"/>
  </conditionalFormatting>
  <pageMargins left="0.24" right="0.26" top="0.78740157480314965" bottom="0.78740157480314965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97" r:id="rId4" name="Button 13">
              <controlPr defaultSize="0" print="0" autoFill="0" autoPict="0" macro="[0]!MP10073_Botão13_Clique">
                <anchor moveWithCells="1" sizeWithCells="1">
                  <from>
                    <xdr:col>8</xdr:col>
                    <xdr:colOff>106680</xdr:colOff>
                    <xdr:row>10</xdr:row>
                    <xdr:rowOff>152400</xdr:rowOff>
                  </from>
                  <to>
                    <xdr:col>9</xdr:col>
                    <xdr:colOff>441960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5" name="Button 14">
              <controlPr defaultSize="0" print="0" autoFill="0" autoPict="0" macro="[0]!MP10073_Botão14_Clique">
                <anchor moveWithCells="1" sizeWithCells="1">
                  <from>
                    <xdr:col>33</xdr:col>
                    <xdr:colOff>99060</xdr:colOff>
                    <xdr:row>0</xdr:row>
                    <xdr:rowOff>30480</xdr:rowOff>
                  </from>
                  <to>
                    <xdr:col>34</xdr:col>
                    <xdr:colOff>350520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6" name="Button 15">
              <controlPr defaultSize="0" print="0" autoFill="0" autoPict="0" macro="[0]!MP10073_Botão14_Clique">
                <anchor moveWithCells="1" sizeWithCells="1">
                  <from>
                    <xdr:col>50</xdr:col>
                    <xdr:colOff>99060</xdr:colOff>
                    <xdr:row>0</xdr:row>
                    <xdr:rowOff>30480</xdr:rowOff>
                  </from>
                  <to>
                    <xdr:col>51</xdr:col>
                    <xdr:colOff>350520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7" name="Button 16">
              <controlPr defaultSize="0" print="0" autoFill="0" autoPict="0" macro="[0]!MP10073_Botão16_Clique">
                <anchor moveWithCells="1" sizeWithCells="1">
                  <from>
                    <xdr:col>2</xdr:col>
                    <xdr:colOff>68580</xdr:colOff>
                    <xdr:row>5</xdr:row>
                    <xdr:rowOff>45720</xdr:rowOff>
                  </from>
                  <to>
                    <xdr:col>3</xdr:col>
                    <xdr:colOff>541020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8" name="Button 17">
              <controlPr defaultSize="0" print="0" autoFill="0" autoPict="0" macro="[0]!MP10073_Botão14_Clique">
                <anchor moveWithCells="1" sizeWithCells="1">
                  <from>
                    <xdr:col>68</xdr:col>
                    <xdr:colOff>99060</xdr:colOff>
                    <xdr:row>0</xdr:row>
                    <xdr:rowOff>30480</xdr:rowOff>
                  </from>
                  <to>
                    <xdr:col>69</xdr:col>
                    <xdr:colOff>350520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9" name="Button 18">
              <controlPr defaultSize="0" print="0" autoFill="0" autoPict="0" macro="[0]!MP10073_Botão18_Clique">
                <anchor moveWithCells="1" sizeWithCells="1">
                  <from>
                    <xdr:col>2</xdr:col>
                    <xdr:colOff>68580</xdr:colOff>
                    <xdr:row>10</xdr:row>
                    <xdr:rowOff>45720</xdr:rowOff>
                  </from>
                  <to>
                    <xdr:col>3</xdr:col>
                    <xdr:colOff>525780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10" name="Button 19">
              <controlPr defaultSize="0" print="0" autoFill="0" autoPict="0" macro="[0]!MP10073_Botão14_Clique">
                <anchor moveWithCells="1" sizeWithCells="1">
                  <from>
                    <xdr:col>86</xdr:col>
                    <xdr:colOff>99060</xdr:colOff>
                    <xdr:row>0</xdr:row>
                    <xdr:rowOff>30480</xdr:rowOff>
                  </from>
                  <to>
                    <xdr:col>87</xdr:col>
                    <xdr:colOff>350520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11" name="Button 20">
              <controlPr defaultSize="0" print="0" autoFill="0" autoPict="0" macro="[0]!MP10073_Botão20_Clique">
                <anchor moveWithCells="1" sizeWithCells="1">
                  <from>
                    <xdr:col>2</xdr:col>
                    <xdr:colOff>83820</xdr:colOff>
                    <xdr:row>15</xdr:row>
                    <xdr:rowOff>60960</xdr:rowOff>
                  </from>
                  <to>
                    <xdr:col>3</xdr:col>
                    <xdr:colOff>518160</xdr:colOff>
                    <xdr:row>16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12" name="Button 21">
              <controlPr defaultSize="0" print="0" autoFill="0" autoPict="0" macro="[0]!MP10073_Botão14_Clique">
                <anchor moveWithCells="1" sizeWithCells="1">
                  <from>
                    <xdr:col>106</xdr:col>
                    <xdr:colOff>99060</xdr:colOff>
                    <xdr:row>0</xdr:row>
                    <xdr:rowOff>30480</xdr:rowOff>
                  </from>
                  <to>
                    <xdr:col>107</xdr:col>
                    <xdr:colOff>350520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13" name="Button 22">
              <controlPr defaultSize="0" print="0" autoFill="0" autoPict="0" macro="[0]!Botão22_Clique">
                <anchor moveWithCells="1" sizeWithCells="1">
                  <from>
                    <xdr:col>5</xdr:col>
                    <xdr:colOff>60960</xdr:colOff>
                    <xdr:row>5</xdr:row>
                    <xdr:rowOff>45720</xdr:rowOff>
                  </from>
                  <to>
                    <xdr:col>6</xdr:col>
                    <xdr:colOff>480060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14" name="Button 23">
              <controlPr defaultSize="0" print="0" autoFill="0" autoPict="0" macro="[0]!MP10073_Botão14_Clique">
                <anchor moveWithCells="1" sizeWithCells="1">
                  <from>
                    <xdr:col>126</xdr:col>
                    <xdr:colOff>99060</xdr:colOff>
                    <xdr:row>0</xdr:row>
                    <xdr:rowOff>30480</xdr:rowOff>
                  </from>
                  <to>
                    <xdr:col>127</xdr:col>
                    <xdr:colOff>350520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15" name="Button 25">
              <controlPr defaultSize="0" print="0" autoFill="0" autoPict="0" macro="[0]!Botão25_Clique">
                <anchor moveWithCells="1" sizeWithCells="1">
                  <from>
                    <xdr:col>5</xdr:col>
                    <xdr:colOff>121920</xdr:colOff>
                    <xdr:row>15</xdr:row>
                    <xdr:rowOff>45720</xdr:rowOff>
                  </from>
                  <to>
                    <xdr:col>6</xdr:col>
                    <xdr:colOff>487680</xdr:colOff>
                    <xdr:row>16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0" r:id="rId16" name="Button 26">
              <controlPr defaultSize="0" print="0" autoFill="0" autoPict="0" macro="[0]!MP10073_Botão14_Clique">
                <anchor moveWithCells="1" sizeWithCells="1">
                  <from>
                    <xdr:col>144</xdr:col>
                    <xdr:colOff>99060</xdr:colOff>
                    <xdr:row>0</xdr:row>
                    <xdr:rowOff>30480</xdr:rowOff>
                  </from>
                  <to>
                    <xdr:col>145</xdr:col>
                    <xdr:colOff>350520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1" r:id="rId17" name="Button 27">
              <controlPr defaultSize="0" print="0" autoFill="0" autoPict="0" macro="[0]!Botão27_Clique">
                <anchor moveWithCells="1" sizeWithCells="1">
                  <from>
                    <xdr:col>8</xdr:col>
                    <xdr:colOff>99060</xdr:colOff>
                    <xdr:row>5</xdr:row>
                    <xdr:rowOff>60960</xdr:rowOff>
                  </from>
                  <to>
                    <xdr:col>9</xdr:col>
                    <xdr:colOff>426720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2" r:id="rId18" name="Button 28">
              <controlPr defaultSize="0" print="0" autoFill="0" autoPict="0" macro="[0]!MP10073_Botão14_Clique">
                <anchor moveWithCells="1" sizeWithCells="1">
                  <from>
                    <xdr:col>164</xdr:col>
                    <xdr:colOff>99060</xdr:colOff>
                    <xdr:row>0</xdr:row>
                    <xdr:rowOff>30480</xdr:rowOff>
                  </from>
                  <to>
                    <xdr:col>165</xdr:col>
                    <xdr:colOff>350520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3" r:id="rId19" name="Button 29">
              <controlPr defaultSize="0" print="0" autoFill="0" autoPict="0" macro="[0]!Botão29_Clique">
                <anchor moveWithCells="1" sizeWithCells="1">
                  <from>
                    <xdr:col>8</xdr:col>
                    <xdr:colOff>114300</xdr:colOff>
                    <xdr:row>16</xdr:row>
                    <xdr:rowOff>7620</xdr:rowOff>
                  </from>
                  <to>
                    <xdr:col>9</xdr:col>
                    <xdr:colOff>411480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5" r:id="rId20" name="Button 31">
              <controlPr defaultSize="0" print="0" autoFill="0" autoPict="0" macro="[0]!MP10073_Botão14_Clique">
                <anchor moveWithCells="1" sizeWithCells="1">
                  <from>
                    <xdr:col>184</xdr:col>
                    <xdr:colOff>99060</xdr:colOff>
                    <xdr:row>0</xdr:row>
                    <xdr:rowOff>30480</xdr:rowOff>
                  </from>
                  <to>
                    <xdr:col>185</xdr:col>
                    <xdr:colOff>350520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6" r:id="rId21" name="Button 32">
              <controlPr defaultSize="0" print="0" autoFill="0" autoPict="0" macro="[0]!Botão32_Clique">
                <anchor moveWithCells="1" sizeWithCells="1">
                  <from>
                    <xdr:col>5</xdr:col>
                    <xdr:colOff>106680</xdr:colOff>
                    <xdr:row>10</xdr:row>
                    <xdr:rowOff>45720</xdr:rowOff>
                  </from>
                  <to>
                    <xdr:col>6</xdr:col>
                    <xdr:colOff>457200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7" r:id="rId22" name="Button 33">
              <controlPr defaultSize="0" print="0" autoFill="0" autoPict="0" macro="[0]!MP10073_Botão14_Clique">
                <anchor moveWithCells="1" sizeWithCells="1">
                  <from>
                    <xdr:col>205</xdr:col>
                    <xdr:colOff>99060</xdr:colOff>
                    <xdr:row>0</xdr:row>
                    <xdr:rowOff>30480</xdr:rowOff>
                  </from>
                  <to>
                    <xdr:col>206</xdr:col>
                    <xdr:colOff>350520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8" r:id="rId23" name="Button 34">
              <controlPr defaultSize="0" print="0" autoFill="0" autoPict="0" macro="[0]!Botão34_Clique">
                <anchor moveWithCells="1" sizeWithCells="1">
                  <from>
                    <xdr:col>11</xdr:col>
                    <xdr:colOff>83820</xdr:colOff>
                    <xdr:row>5</xdr:row>
                    <xdr:rowOff>45720</xdr:rowOff>
                  </from>
                  <to>
                    <xdr:col>12</xdr:col>
                    <xdr:colOff>518160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9" r:id="rId24" name="Button 35">
              <controlPr defaultSize="0" print="0" autoFill="0" autoPict="0" macro="[0]!Botão35_Clique">
                <anchor moveWithCells="1" sizeWithCells="1">
                  <from>
                    <xdr:col>11</xdr:col>
                    <xdr:colOff>137160</xdr:colOff>
                    <xdr:row>10</xdr:row>
                    <xdr:rowOff>45720</xdr:rowOff>
                  </from>
                  <to>
                    <xdr:col>12</xdr:col>
                    <xdr:colOff>457200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0" r:id="rId25" name="Button 36">
              <controlPr defaultSize="0" print="0" autoFill="0" autoPict="0" macro="[0]!Botão36_Clique">
                <anchor moveWithCells="1" sizeWithCells="1">
                  <from>
                    <xdr:col>2</xdr:col>
                    <xdr:colOff>266700</xdr:colOff>
                    <xdr:row>7</xdr:row>
                    <xdr:rowOff>45720</xdr:rowOff>
                  </from>
                  <to>
                    <xdr:col>3</xdr:col>
                    <xdr:colOff>525780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1" r:id="rId26" name="Button 37">
              <controlPr defaultSize="0" print="0" autoFill="0" autoPict="0" macro="[0]!Botão37_Clique">
                <anchor moveWithCells="1" sizeWithCells="1">
                  <from>
                    <xdr:col>2</xdr:col>
                    <xdr:colOff>266700</xdr:colOff>
                    <xdr:row>12</xdr:row>
                    <xdr:rowOff>45720</xdr:rowOff>
                  </from>
                  <to>
                    <xdr:col>3</xdr:col>
                    <xdr:colOff>518160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2" r:id="rId27" name="Button 38">
              <controlPr defaultSize="0" print="0" autoFill="0" autoPict="0" macro="[0]!Botão38_Clique">
                <anchor moveWithCells="1" sizeWithCells="1">
                  <from>
                    <xdr:col>2</xdr:col>
                    <xdr:colOff>289560</xdr:colOff>
                    <xdr:row>17</xdr:row>
                    <xdr:rowOff>60960</xdr:rowOff>
                  </from>
                  <to>
                    <xdr:col>3</xdr:col>
                    <xdr:colOff>525780</xdr:colOff>
                    <xdr:row>18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3" r:id="rId28" name="Button 39">
              <controlPr defaultSize="0" print="0" autoFill="0" autoPict="0" macro="[0]!Botão39_Clique">
                <anchor moveWithCells="1" sizeWithCells="1">
                  <from>
                    <xdr:col>5</xdr:col>
                    <xdr:colOff>259080</xdr:colOff>
                    <xdr:row>7</xdr:row>
                    <xdr:rowOff>60960</xdr:rowOff>
                  </from>
                  <to>
                    <xdr:col>6</xdr:col>
                    <xdr:colOff>457200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5" r:id="rId29" name="Button 41">
              <controlPr defaultSize="0" print="0" autoFill="0" autoPict="0" macro="[0]!Botão41_Clique">
                <anchor moveWithCells="1" sizeWithCells="1">
                  <from>
                    <xdr:col>5</xdr:col>
                    <xdr:colOff>297180</xdr:colOff>
                    <xdr:row>12</xdr:row>
                    <xdr:rowOff>60960</xdr:rowOff>
                  </from>
                  <to>
                    <xdr:col>6</xdr:col>
                    <xdr:colOff>449580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6" r:id="rId30" name="Button 42">
              <controlPr defaultSize="0" print="0" autoFill="0" autoPict="0" macro="[0]!Botão42_Clique">
                <anchor moveWithCells="1" sizeWithCells="1">
                  <from>
                    <xdr:col>5</xdr:col>
                    <xdr:colOff>350520</xdr:colOff>
                    <xdr:row>17</xdr:row>
                    <xdr:rowOff>68580</xdr:rowOff>
                  </from>
                  <to>
                    <xdr:col>6</xdr:col>
                    <xdr:colOff>487680</xdr:colOff>
                    <xdr:row>18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7" r:id="rId31" name="Button 43">
              <controlPr defaultSize="0" print="0" autoFill="0" autoPict="0" macro="[0]!Botão43_Clique">
                <anchor moveWithCells="1" sizeWithCells="1">
                  <from>
                    <xdr:col>8</xdr:col>
                    <xdr:colOff>342900</xdr:colOff>
                    <xdr:row>7</xdr:row>
                    <xdr:rowOff>76200</xdr:rowOff>
                  </from>
                  <to>
                    <xdr:col>9</xdr:col>
                    <xdr:colOff>426720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8" r:id="rId32" name="Button 44">
              <controlPr defaultSize="0" print="0" autoFill="0" autoPict="0" macro="[0]!Botão44_Clique">
                <anchor moveWithCells="1" sizeWithCells="1">
                  <from>
                    <xdr:col>11</xdr:col>
                    <xdr:colOff>381000</xdr:colOff>
                    <xdr:row>12</xdr:row>
                    <xdr:rowOff>60960</xdr:rowOff>
                  </from>
                  <to>
                    <xdr:col>12</xdr:col>
                    <xdr:colOff>464820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9" r:id="rId33" name="Button 45">
              <controlPr defaultSize="0" print="0" autoFill="0" autoPict="0" macro="[0]!Botão45_Clique">
                <anchor moveWithCells="1" sizeWithCells="1">
                  <from>
                    <xdr:col>11</xdr:col>
                    <xdr:colOff>137160</xdr:colOff>
                    <xdr:row>15</xdr:row>
                    <xdr:rowOff>45720</xdr:rowOff>
                  </from>
                  <to>
                    <xdr:col>12</xdr:col>
                    <xdr:colOff>525780</xdr:colOff>
                    <xdr:row>16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0" r:id="rId34" name="Button 46">
              <controlPr defaultSize="0" print="0" autoFill="0" autoPict="0" macro="[0]!Botão46_Clique">
                <anchor moveWithCells="1" sizeWithCells="1">
                  <from>
                    <xdr:col>11</xdr:col>
                    <xdr:colOff>144780</xdr:colOff>
                    <xdr:row>17</xdr:row>
                    <xdr:rowOff>60960</xdr:rowOff>
                  </from>
                  <to>
                    <xdr:col>12</xdr:col>
                    <xdr:colOff>518160</xdr:colOff>
                    <xdr:row>18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1" r:id="rId35" name="Button 47">
              <controlPr defaultSize="0" print="0" autoFill="0" autoPict="0" macro="[0]!Botão47_Clique">
                <anchor moveWithCells="1" sizeWithCells="1">
                  <from>
                    <xdr:col>13</xdr:col>
                    <xdr:colOff>236220</xdr:colOff>
                    <xdr:row>0</xdr:row>
                    <xdr:rowOff>137160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2" r:id="rId36" name="Button 48">
              <controlPr defaultSize="0" print="0" autoFill="0" autoPict="0" macro="[0]!Botão42_Clique">
                <anchor moveWithCells="1" sizeWithCells="1">
                  <from>
                    <xdr:col>5</xdr:col>
                    <xdr:colOff>365760</xdr:colOff>
                    <xdr:row>19</xdr:row>
                    <xdr:rowOff>83820</xdr:rowOff>
                  </from>
                  <to>
                    <xdr:col>6</xdr:col>
                    <xdr:colOff>495300</xdr:colOff>
                    <xdr:row>20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AFD54A35-E1C2-456F-A233-A9763F2AB240}">
            <xm:f>NOT(ISERROR(SEARCH($I$3,B2)))</xm:f>
            <xm:f>$I$3</xm:f>
            <x14:dxf>
              <fill>
                <patternFill>
                  <bgColor rgb="FF14D105"/>
                </patternFill>
              </fill>
            </x14:dxf>
          </x14:cfRule>
          <xm:sqref>B2:S2 B21:E21 S6:S20 Q3:S5 H21:S21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31">
    <tabColor theme="9"/>
  </sheetPr>
  <dimension ref="A1:U43"/>
  <sheetViews>
    <sheetView zoomScaleNormal="100" workbookViewId="0">
      <selection activeCell="G18" sqref="G18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0.33203125" style="60" customWidth="1"/>
    <col min="6" max="6" width="4" style="60" customWidth="1"/>
    <col min="7" max="7" width="9.109375" style="60" customWidth="1"/>
    <col min="8" max="8" width="0.88671875" style="59" customWidth="1"/>
    <col min="9" max="9" width="8.6640625" style="59" customWidth="1"/>
    <col min="10" max="10" width="10.6640625" style="59" customWidth="1"/>
    <col min="11" max="11" width="10.6640625" style="60" customWidth="1"/>
    <col min="12" max="12" width="3.33203125" style="60" customWidth="1"/>
    <col min="13" max="13" width="5.109375" style="60" customWidth="1"/>
    <col min="14" max="14" width="13.6640625" style="60" customWidth="1"/>
    <col min="15" max="15" width="9.109375" style="60"/>
    <col min="16" max="16" width="9.5546875" style="59" bestFit="1" customWidth="1"/>
    <col min="17" max="17" width="10" style="59" customWidth="1"/>
    <col min="18" max="16384" width="9.109375" style="59"/>
  </cols>
  <sheetData>
    <row r="1" spans="1:17" ht="17.25" customHeight="1">
      <c r="A1" s="125"/>
      <c r="B1" s="473" t="s">
        <v>373</v>
      </c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</row>
    <row r="2" spans="1:17" ht="16.5" customHeight="1">
      <c r="A2" s="126"/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</row>
    <row r="3" spans="1:17" ht="16.5" customHeight="1">
      <c r="A3" s="126"/>
      <c r="B3" s="549" t="s">
        <v>297</v>
      </c>
      <c r="C3" s="549"/>
      <c r="D3" s="550" t="s">
        <v>325</v>
      </c>
      <c r="E3" s="550"/>
      <c r="F3" s="550"/>
      <c r="G3" s="67"/>
      <c r="H3" s="67"/>
      <c r="I3" s="67"/>
      <c r="J3" s="67"/>
      <c r="K3" s="67"/>
    </row>
    <row r="4" spans="1:17" ht="13.5" customHeight="1">
      <c r="A4" s="126"/>
    </row>
    <row r="5" spans="1:17" ht="15" customHeight="1">
      <c r="A5" s="126"/>
      <c r="E5" s="468" t="s">
        <v>308</v>
      </c>
      <c r="F5" s="468"/>
      <c r="G5" s="468" t="s">
        <v>305</v>
      </c>
      <c r="H5" s="468"/>
      <c r="I5" s="468"/>
      <c r="J5" s="468"/>
      <c r="K5" s="468"/>
      <c r="N5" s="481" t="s">
        <v>393</v>
      </c>
      <c r="O5" s="481"/>
      <c r="P5" s="481"/>
      <c r="Q5" s="481"/>
    </row>
    <row r="6" spans="1:17" ht="15" customHeight="1">
      <c r="A6" s="126"/>
      <c r="B6" s="459" t="s">
        <v>355</v>
      </c>
      <c r="C6" s="460"/>
      <c r="D6" s="461"/>
      <c r="E6" s="483">
        <v>7629034</v>
      </c>
      <c r="F6" s="483"/>
      <c r="G6" s="62">
        <v>8073971</v>
      </c>
      <c r="H6" s="477">
        <v>2062731</v>
      </c>
      <c r="I6" s="477"/>
      <c r="J6" s="62">
        <v>1453082</v>
      </c>
      <c r="K6" s="130"/>
      <c r="N6" s="154" t="s">
        <v>383</v>
      </c>
      <c r="O6" s="155" t="s">
        <v>298</v>
      </c>
      <c r="P6" s="155" t="s">
        <v>392</v>
      </c>
      <c r="Q6" s="155" t="s">
        <v>300</v>
      </c>
    </row>
    <row r="7" spans="1:17" ht="15" customHeight="1">
      <c r="A7" s="126"/>
      <c r="B7" s="453"/>
      <c r="C7" s="454"/>
      <c r="D7" s="455"/>
      <c r="E7" s="483">
        <v>8073826</v>
      </c>
      <c r="F7" s="483"/>
      <c r="G7" s="62">
        <v>6590453</v>
      </c>
      <c r="H7" s="477">
        <v>1452808</v>
      </c>
      <c r="I7" s="477"/>
      <c r="J7" s="62"/>
      <c r="K7" s="62"/>
      <c r="N7" s="64">
        <v>160</v>
      </c>
      <c r="O7" s="64">
        <v>100</v>
      </c>
      <c r="P7" s="64">
        <f>O7*33%</f>
        <v>33</v>
      </c>
      <c r="Q7" s="64">
        <f>O7*20%</f>
        <v>20</v>
      </c>
    </row>
    <row r="8" spans="1:17" ht="15" customHeight="1">
      <c r="A8" s="126"/>
      <c r="B8" s="453"/>
      <c r="C8" s="454"/>
      <c r="D8" s="455"/>
      <c r="E8" s="493"/>
      <c r="F8" s="482"/>
      <c r="G8" s="62"/>
      <c r="H8" s="477"/>
      <c r="I8" s="477"/>
      <c r="J8" s="62"/>
      <c r="K8" s="62"/>
      <c r="N8" s="156">
        <v>320</v>
      </c>
      <c r="O8" s="156">
        <v>200</v>
      </c>
      <c r="P8" s="64">
        <f t="shared" ref="P8:P16" si="0">O8*33%</f>
        <v>66</v>
      </c>
      <c r="Q8" s="64">
        <f t="shared" ref="Q8:Q16" si="1">O8*20%</f>
        <v>40</v>
      </c>
    </row>
    <row r="9" spans="1:17" ht="15" customHeight="1">
      <c r="A9" s="126"/>
      <c r="B9" s="453"/>
      <c r="C9" s="454"/>
      <c r="D9" s="455"/>
      <c r="E9" s="493"/>
      <c r="F9" s="482"/>
      <c r="G9" s="62"/>
      <c r="H9" s="477"/>
      <c r="I9" s="477"/>
      <c r="J9" s="62"/>
      <c r="K9" s="62"/>
      <c r="N9" s="64">
        <v>480</v>
      </c>
      <c r="O9" s="64">
        <v>300</v>
      </c>
      <c r="P9" s="64">
        <f t="shared" si="0"/>
        <v>99</v>
      </c>
      <c r="Q9" s="64">
        <f t="shared" si="1"/>
        <v>60</v>
      </c>
    </row>
    <row r="10" spans="1:17" ht="15" customHeight="1">
      <c r="A10" s="126"/>
      <c r="B10" s="453"/>
      <c r="C10" s="454"/>
      <c r="D10" s="455"/>
      <c r="E10" s="493"/>
      <c r="F10" s="482"/>
      <c r="G10" s="62"/>
      <c r="H10" s="477"/>
      <c r="I10" s="477"/>
      <c r="J10" s="62"/>
      <c r="K10" s="62"/>
      <c r="N10" s="156">
        <v>640</v>
      </c>
      <c r="O10" s="156">
        <v>400</v>
      </c>
      <c r="P10" s="64">
        <f t="shared" si="0"/>
        <v>132</v>
      </c>
      <c r="Q10" s="64">
        <f t="shared" si="1"/>
        <v>80</v>
      </c>
    </row>
    <row r="11" spans="1:17" ht="15" customHeight="1">
      <c r="A11" s="126"/>
      <c r="B11" s="453"/>
      <c r="C11" s="454"/>
      <c r="D11" s="455"/>
      <c r="E11" s="493"/>
      <c r="F11" s="482"/>
      <c r="G11" s="161"/>
      <c r="H11" s="477"/>
      <c r="I11" s="477"/>
      <c r="J11" s="62"/>
      <c r="K11" s="62"/>
      <c r="N11" s="64">
        <v>800</v>
      </c>
      <c r="O11" s="64">
        <v>500</v>
      </c>
      <c r="P11" s="64">
        <f t="shared" si="0"/>
        <v>165</v>
      </c>
      <c r="Q11" s="64">
        <f t="shared" si="1"/>
        <v>100</v>
      </c>
    </row>
    <row r="12" spans="1:17">
      <c r="A12" s="126"/>
      <c r="B12" s="453"/>
      <c r="C12" s="454"/>
      <c r="D12" s="455"/>
      <c r="E12" s="493"/>
      <c r="F12" s="482"/>
      <c r="G12" s="62"/>
      <c r="H12" s="477"/>
      <c r="I12" s="477"/>
      <c r="J12" s="62"/>
      <c r="K12" s="62"/>
      <c r="L12" s="59"/>
      <c r="N12" s="156">
        <v>960</v>
      </c>
      <c r="O12" s="156">
        <v>600</v>
      </c>
      <c r="P12" s="64">
        <f t="shared" si="0"/>
        <v>198</v>
      </c>
      <c r="Q12" s="64">
        <f t="shared" si="1"/>
        <v>120</v>
      </c>
    </row>
    <row r="13" spans="1:17">
      <c r="A13" s="126"/>
      <c r="B13" s="141"/>
      <c r="C13" s="151"/>
      <c r="D13" s="142"/>
      <c r="E13" s="493"/>
      <c r="F13" s="482"/>
      <c r="G13" s="62"/>
      <c r="H13" s="477"/>
      <c r="I13" s="477"/>
      <c r="J13" s="62"/>
      <c r="K13" s="62"/>
      <c r="N13" s="64">
        <v>1120</v>
      </c>
      <c r="O13" s="64">
        <v>700</v>
      </c>
      <c r="P13" s="64">
        <f t="shared" si="0"/>
        <v>231</v>
      </c>
      <c r="Q13" s="64">
        <f t="shared" si="1"/>
        <v>140</v>
      </c>
    </row>
    <row r="14" spans="1:17">
      <c r="A14" s="126"/>
      <c r="B14" s="453"/>
      <c r="C14" s="454"/>
      <c r="D14" s="455"/>
      <c r="E14" s="493"/>
      <c r="F14" s="482"/>
      <c r="G14" s="62"/>
      <c r="H14" s="477"/>
      <c r="I14" s="477"/>
      <c r="J14" s="62"/>
      <c r="K14" s="62"/>
      <c r="N14" s="156">
        <v>1280</v>
      </c>
      <c r="O14" s="156">
        <v>800</v>
      </c>
      <c r="P14" s="64">
        <f t="shared" si="0"/>
        <v>264</v>
      </c>
      <c r="Q14" s="64">
        <f t="shared" si="1"/>
        <v>160</v>
      </c>
    </row>
    <row r="15" spans="1:17">
      <c r="A15" s="126"/>
      <c r="B15" s="456"/>
      <c r="C15" s="457"/>
      <c r="D15" s="458"/>
      <c r="E15" s="482"/>
      <c r="F15" s="483"/>
      <c r="G15" s="62"/>
      <c r="H15" s="477"/>
      <c r="I15" s="477"/>
      <c r="J15" s="62"/>
      <c r="K15" s="62"/>
      <c r="N15" s="64">
        <v>1440</v>
      </c>
      <c r="O15" s="64">
        <v>900</v>
      </c>
      <c r="P15" s="64">
        <f t="shared" si="0"/>
        <v>297</v>
      </c>
      <c r="Q15" s="64">
        <f t="shared" si="1"/>
        <v>180</v>
      </c>
    </row>
    <row r="16" spans="1:17">
      <c r="A16" s="126"/>
      <c r="G16" s="59"/>
      <c r="N16" s="157">
        <v>1600</v>
      </c>
      <c r="O16" s="158">
        <v>1000</v>
      </c>
      <c r="P16" s="64">
        <f t="shared" si="0"/>
        <v>330</v>
      </c>
      <c r="Q16" s="64">
        <f t="shared" si="1"/>
        <v>200</v>
      </c>
    </row>
    <row r="17" spans="1:21">
      <c r="A17" s="126"/>
      <c r="B17" s="443" t="s">
        <v>366</v>
      </c>
      <c r="C17" s="443"/>
      <c r="D17" s="447" t="s">
        <v>390</v>
      </c>
      <c r="E17" s="447"/>
      <c r="H17" s="128"/>
      <c r="I17" s="128"/>
    </row>
    <row r="18" spans="1:21">
      <c r="A18" s="126"/>
      <c r="B18" s="443" t="s">
        <v>356</v>
      </c>
      <c r="C18" s="443"/>
      <c r="D18" s="444" t="s">
        <v>398</v>
      </c>
      <c r="E18" s="444"/>
      <c r="G18" s="127"/>
      <c r="H18" s="128"/>
      <c r="I18" s="128"/>
    </row>
    <row r="19" spans="1:21">
      <c r="A19" s="126"/>
      <c r="B19" s="445" t="s">
        <v>395</v>
      </c>
      <c r="C19" s="446"/>
      <c r="D19" s="444" t="s">
        <v>401</v>
      </c>
      <c r="E19" s="444"/>
      <c r="G19" s="127"/>
      <c r="H19" s="128"/>
      <c r="I19" s="128"/>
    </row>
    <row r="20" spans="1:21" ht="12.75" customHeight="1">
      <c r="A20" s="126"/>
      <c r="I20" s="541" t="s">
        <v>372</v>
      </c>
      <c r="J20" s="541"/>
      <c r="K20" s="541"/>
      <c r="L20" s="543" t="s">
        <v>375</v>
      </c>
      <c r="M20" s="544"/>
    </row>
    <row r="21" spans="1:21">
      <c r="A21" s="126"/>
      <c r="F21" s="59"/>
      <c r="G21" s="471"/>
      <c r="H21" s="542"/>
      <c r="I21" s="137" t="s">
        <v>357</v>
      </c>
      <c r="J21" s="137" t="s">
        <v>358</v>
      </c>
      <c r="K21" s="137" t="s">
        <v>368</v>
      </c>
      <c r="L21" s="546" t="s">
        <v>394</v>
      </c>
      <c r="M21" s="547"/>
    </row>
    <row r="22" spans="1:21">
      <c r="A22" s="126"/>
      <c r="B22" s="436" t="s">
        <v>367</v>
      </c>
      <c r="C22" s="437"/>
      <c r="D22" s="438"/>
      <c r="E22" s="136" t="s">
        <v>375</v>
      </c>
      <c r="F22" s="59"/>
      <c r="G22" s="545" t="s">
        <v>370</v>
      </c>
      <c r="H22" s="545"/>
      <c r="I22" s="135" t="s">
        <v>369</v>
      </c>
      <c r="J22" s="135" t="s">
        <v>369</v>
      </c>
      <c r="K22" s="135" t="s">
        <v>369</v>
      </c>
      <c r="L22" s="546" t="s">
        <v>278</v>
      </c>
      <c r="M22" s="547"/>
      <c r="N22" s="65"/>
      <c r="O22" s="65"/>
      <c r="P22" s="65"/>
      <c r="Q22" s="65"/>
    </row>
    <row r="23" spans="1:21" ht="15" customHeight="1">
      <c r="A23" s="126"/>
      <c r="B23" s="440" t="s">
        <v>357</v>
      </c>
      <c r="C23" s="441"/>
      <c r="D23" s="131" t="s">
        <v>359</v>
      </c>
      <c r="E23" s="131" t="s">
        <v>374</v>
      </c>
      <c r="G23" s="548" t="s">
        <v>371</v>
      </c>
      <c r="H23" s="548"/>
      <c r="I23" s="143" t="s">
        <v>278</v>
      </c>
      <c r="J23" s="143" t="s">
        <v>278</v>
      </c>
      <c r="K23" s="143" t="s">
        <v>278</v>
      </c>
      <c r="L23" s="162"/>
      <c r="M23" s="159"/>
      <c r="N23" s="65"/>
      <c r="O23" s="65"/>
      <c r="P23" s="65"/>
      <c r="Q23" s="65"/>
    </row>
    <row r="24" spans="1:21" ht="19.5" customHeight="1">
      <c r="A24" s="126"/>
      <c r="B24" s="440" t="s">
        <v>358</v>
      </c>
      <c r="C24" s="441"/>
      <c r="D24" s="131" t="s">
        <v>389</v>
      </c>
      <c r="E24" s="131" t="s">
        <v>278</v>
      </c>
      <c r="F24" s="65"/>
      <c r="G24" s="444" t="s">
        <v>376</v>
      </c>
      <c r="H24" s="444"/>
      <c r="I24" s="444"/>
      <c r="J24" s="444"/>
      <c r="K24" s="444"/>
      <c r="L24" s="444"/>
      <c r="M24" s="444"/>
      <c r="N24" s="65"/>
      <c r="O24" s="65"/>
      <c r="P24" s="65"/>
      <c r="Q24" s="65"/>
    </row>
    <row r="25" spans="1:21">
      <c r="A25" s="126"/>
      <c r="B25" s="65"/>
      <c r="C25" s="65"/>
      <c r="D25" s="65"/>
      <c r="E25" s="65"/>
      <c r="F25" s="65"/>
      <c r="G25" s="65"/>
      <c r="H25" s="65"/>
      <c r="I25" s="65"/>
      <c r="J25" s="65"/>
      <c r="K25" s="65"/>
      <c r="N25" s="65"/>
      <c r="O25" s="65"/>
      <c r="P25" s="65"/>
      <c r="Q25" s="65"/>
    </row>
    <row r="26" spans="1:21" ht="15.75" customHeight="1">
      <c r="A26" s="126"/>
      <c r="B26" s="65"/>
      <c r="C26" s="149" t="s">
        <v>360</v>
      </c>
      <c r="D26" s="65"/>
      <c r="E26" s="65"/>
      <c r="F26" s="65"/>
      <c r="G26" s="65"/>
      <c r="H26" s="65"/>
      <c r="I26" s="65"/>
      <c r="J26" s="65"/>
      <c r="K26" s="65"/>
      <c r="N26" s="65"/>
      <c r="O26" s="65"/>
      <c r="P26" s="65"/>
    </row>
    <row r="27" spans="1:21" s="65" customFormat="1" ht="17.25" customHeight="1">
      <c r="A27" s="126"/>
      <c r="B27" s="144" t="s">
        <v>361</v>
      </c>
      <c r="C27" s="147" t="s">
        <v>396</v>
      </c>
      <c r="D27" s="145"/>
      <c r="E27" s="145"/>
      <c r="N27" s="61"/>
      <c r="O27" s="66"/>
      <c r="P27" s="59"/>
      <c r="Q27" s="59"/>
    </row>
    <row r="28" spans="1:21" s="65" customFormat="1" ht="18.75" customHeight="1">
      <c r="A28" s="129"/>
      <c r="B28" s="144" t="s">
        <v>306</v>
      </c>
      <c r="C28" s="147" t="s">
        <v>402</v>
      </c>
      <c r="D28" s="132"/>
      <c r="N28" s="61"/>
      <c r="O28" s="66"/>
      <c r="P28" s="59"/>
      <c r="Q28" s="59"/>
    </row>
    <row r="29" spans="1:21" s="65" customFormat="1" ht="20.100000000000001" customHeight="1">
      <c r="A29" s="129"/>
      <c r="B29" s="144" t="s">
        <v>362</v>
      </c>
      <c r="C29" s="147" t="s">
        <v>390</v>
      </c>
      <c r="D29" s="145"/>
      <c r="E29" s="145"/>
      <c r="F29" s="433"/>
      <c r="G29" s="433"/>
      <c r="N29" s="61"/>
      <c r="O29" s="66"/>
      <c r="P29" s="59"/>
      <c r="Q29" s="59"/>
    </row>
    <row r="30" spans="1:21" s="65" customFormat="1" ht="20.100000000000001" customHeight="1">
      <c r="A30" s="129"/>
      <c r="B30" s="144" t="s">
        <v>363</v>
      </c>
      <c r="C30" s="148" t="s">
        <v>278</v>
      </c>
      <c r="D30" s="146"/>
      <c r="F30" s="132"/>
      <c r="L30" s="61"/>
      <c r="N30" s="61"/>
      <c r="O30" s="66"/>
      <c r="P30" s="59"/>
      <c r="Q30" s="59"/>
    </row>
    <row r="31" spans="1:21" s="65" customFormat="1" ht="16.5" customHeight="1">
      <c r="A31" s="129"/>
      <c r="B31" s="134"/>
      <c r="F31" s="132"/>
      <c r="L31" s="66"/>
      <c r="N31" s="61"/>
      <c r="O31" s="66"/>
      <c r="P31" s="59"/>
      <c r="Q31" s="59"/>
      <c r="R31" s="59"/>
      <c r="S31" s="59"/>
      <c r="T31" s="59"/>
      <c r="U31" s="59"/>
    </row>
    <row r="32" spans="1:21" s="65" customFormat="1" ht="20.100000000000001" customHeight="1">
      <c r="A32" s="129"/>
      <c r="F32" s="132"/>
      <c r="K32" s="61"/>
      <c r="L32" s="66"/>
      <c r="M32" s="66"/>
      <c r="N32" s="60"/>
      <c r="O32" s="60"/>
      <c r="P32" s="59"/>
      <c r="Q32" s="59"/>
      <c r="R32" s="59"/>
      <c r="S32" s="59"/>
      <c r="T32" s="59"/>
      <c r="U32" s="59"/>
    </row>
    <row r="33" spans="1:21" s="65" customFormat="1" ht="22.5" customHeight="1">
      <c r="A33" s="129"/>
      <c r="F33" s="132"/>
      <c r="G33" s="61"/>
      <c r="K33" s="60"/>
      <c r="L33" s="66"/>
      <c r="M33" s="66"/>
      <c r="N33" s="60"/>
      <c r="O33" s="60"/>
      <c r="P33" s="59"/>
      <c r="Q33" s="59"/>
      <c r="R33" s="59"/>
      <c r="S33" s="59"/>
      <c r="T33" s="59"/>
      <c r="U33" s="59"/>
    </row>
    <row r="34" spans="1:21" s="65" customFormat="1" ht="21" customHeight="1">
      <c r="A34" s="129"/>
      <c r="B34" s="59"/>
      <c r="C34" s="59"/>
      <c r="D34" s="59"/>
      <c r="E34" s="59"/>
      <c r="F34" s="60"/>
      <c r="G34" s="60"/>
      <c r="H34" s="59"/>
      <c r="I34" s="59"/>
      <c r="J34" s="59"/>
      <c r="K34" s="60"/>
      <c r="L34" s="61"/>
      <c r="M34" s="66"/>
      <c r="N34" s="60"/>
      <c r="O34" s="60"/>
      <c r="P34" s="59"/>
      <c r="Q34" s="59"/>
      <c r="R34" s="59"/>
      <c r="S34" s="59"/>
      <c r="T34" s="59"/>
      <c r="U34" s="59"/>
    </row>
    <row r="35" spans="1:21" s="65" customFormat="1" ht="20.100000000000001" customHeight="1">
      <c r="A35" s="129"/>
      <c r="B35" s="59"/>
      <c r="C35" s="59"/>
      <c r="D35" s="59"/>
      <c r="E35" s="60"/>
      <c r="F35" s="60"/>
      <c r="G35" s="60"/>
      <c r="H35" s="59"/>
      <c r="I35" s="59"/>
      <c r="J35" s="59"/>
      <c r="K35" s="60"/>
      <c r="L35" s="61"/>
      <c r="M35" s="66"/>
      <c r="N35" s="60"/>
      <c r="O35" s="60"/>
      <c r="P35" s="59"/>
      <c r="Q35" s="59"/>
      <c r="R35" s="59"/>
      <c r="S35" s="59"/>
      <c r="T35" s="59"/>
      <c r="U35" s="59"/>
    </row>
    <row r="36" spans="1:21" s="65" customFormat="1" ht="17.25" customHeight="1">
      <c r="A36" s="129"/>
      <c r="B36" s="59"/>
      <c r="C36" s="59"/>
      <c r="D36" s="59"/>
      <c r="E36" s="60"/>
      <c r="F36" s="60"/>
      <c r="G36" s="60"/>
      <c r="H36" s="59"/>
      <c r="I36" s="59"/>
      <c r="J36" s="59"/>
      <c r="K36" s="60"/>
      <c r="L36" s="61"/>
      <c r="M36" s="66"/>
      <c r="N36" s="60"/>
      <c r="O36" s="60"/>
      <c r="P36" s="59"/>
      <c r="Q36" s="59"/>
      <c r="R36" s="59"/>
      <c r="S36" s="59"/>
      <c r="T36" s="59"/>
    </row>
    <row r="37" spans="1:21" s="60" customFormat="1" ht="21.75" customHeight="1">
      <c r="A37" s="129"/>
      <c r="B37" s="59"/>
      <c r="C37" s="59"/>
      <c r="D37" s="59"/>
      <c r="E37" s="60" t="s">
        <v>309</v>
      </c>
      <c r="H37" s="59"/>
      <c r="I37" s="59"/>
      <c r="J37" s="59"/>
      <c r="P37" s="59"/>
      <c r="Q37" s="59"/>
      <c r="R37" s="59"/>
      <c r="S37" s="59"/>
      <c r="T37" s="59"/>
      <c r="U37" s="59"/>
    </row>
    <row r="38" spans="1:21" s="60" customFormat="1">
      <c r="A38" s="126"/>
      <c r="B38" s="59"/>
      <c r="C38" s="59"/>
      <c r="D38" s="59"/>
      <c r="H38" s="59"/>
      <c r="I38" s="59"/>
      <c r="J38" s="59"/>
      <c r="P38" s="59"/>
      <c r="Q38" s="59"/>
      <c r="R38" s="59"/>
      <c r="S38" s="59"/>
      <c r="T38" s="59"/>
      <c r="U38" s="59"/>
    </row>
    <row r="39" spans="1:21" s="60" customFormat="1">
      <c r="A39" s="126"/>
      <c r="B39" s="59"/>
      <c r="C39" s="59"/>
      <c r="D39" s="59"/>
      <c r="H39" s="59"/>
      <c r="I39" s="59"/>
      <c r="J39" s="59"/>
      <c r="P39" s="59"/>
      <c r="Q39" s="59"/>
      <c r="R39" s="59"/>
      <c r="S39" s="59"/>
      <c r="T39" s="59"/>
      <c r="U39" s="59"/>
    </row>
    <row r="40" spans="1:21" s="60" customFormat="1">
      <c r="A40" s="126"/>
      <c r="B40" s="59"/>
      <c r="C40" s="59"/>
      <c r="D40" s="59"/>
      <c r="H40" s="59"/>
      <c r="I40" s="59"/>
      <c r="J40" s="59"/>
      <c r="P40" s="59"/>
      <c r="Q40" s="59"/>
      <c r="R40" s="59"/>
      <c r="S40" s="59"/>
      <c r="T40" s="59"/>
      <c r="U40" s="59"/>
    </row>
    <row r="41" spans="1:21" s="60" customFormat="1">
      <c r="A41" s="126"/>
      <c r="B41" s="59"/>
      <c r="C41" s="59"/>
      <c r="D41" s="59"/>
      <c r="H41" s="59"/>
      <c r="I41" s="59"/>
      <c r="J41" s="59"/>
      <c r="P41" s="59"/>
      <c r="Q41" s="59"/>
      <c r="R41" s="59"/>
      <c r="S41" s="59"/>
      <c r="T41" s="59"/>
      <c r="U41" s="59"/>
    </row>
    <row r="42" spans="1:21" s="60" customFormat="1">
      <c r="A42" s="126"/>
      <c r="B42" s="59"/>
      <c r="C42" s="59"/>
      <c r="D42" s="59"/>
      <c r="H42" s="59"/>
      <c r="I42" s="59"/>
      <c r="J42" s="59"/>
      <c r="P42" s="59"/>
      <c r="Q42" s="59"/>
      <c r="R42" s="59"/>
      <c r="S42" s="59"/>
      <c r="T42" s="59"/>
      <c r="U42" s="59"/>
    </row>
    <row r="43" spans="1:21" s="60" customFormat="1">
      <c r="A43" s="59"/>
      <c r="B43" s="59"/>
      <c r="C43" s="59"/>
      <c r="D43" s="59"/>
      <c r="H43" s="59"/>
      <c r="I43" s="59"/>
      <c r="J43" s="59"/>
      <c r="P43" s="59"/>
      <c r="Q43" s="59"/>
      <c r="R43" s="59"/>
      <c r="S43" s="59"/>
      <c r="T43" s="59"/>
      <c r="U43" s="59"/>
    </row>
  </sheetData>
  <mergeCells count="46">
    <mergeCell ref="N5:Q5"/>
    <mergeCell ref="E9:F9"/>
    <mergeCell ref="H9:I9"/>
    <mergeCell ref="E10:F10"/>
    <mergeCell ref="B1:M2"/>
    <mergeCell ref="B3:C3"/>
    <mergeCell ref="D3:F3"/>
    <mergeCell ref="E5:F5"/>
    <mergeCell ref="G5:K5"/>
    <mergeCell ref="E6:F6"/>
    <mergeCell ref="H6:I6"/>
    <mergeCell ref="E7:F7"/>
    <mergeCell ref="H7:I7"/>
    <mergeCell ref="E8:F8"/>
    <mergeCell ref="H8:I8"/>
    <mergeCell ref="B6:D12"/>
    <mergeCell ref="H14:I14"/>
    <mergeCell ref="E15:F15"/>
    <mergeCell ref="H15:I15"/>
    <mergeCell ref="H10:I10"/>
    <mergeCell ref="E11:F11"/>
    <mergeCell ref="H11:I11"/>
    <mergeCell ref="E12:F12"/>
    <mergeCell ref="H12:I12"/>
    <mergeCell ref="E13:F13"/>
    <mergeCell ref="H13:I13"/>
    <mergeCell ref="L20:M20"/>
    <mergeCell ref="B22:D22"/>
    <mergeCell ref="G22:H22"/>
    <mergeCell ref="L21:M21"/>
    <mergeCell ref="G24:M24"/>
    <mergeCell ref="B23:C23"/>
    <mergeCell ref="G23:H23"/>
    <mergeCell ref="L22:M22"/>
    <mergeCell ref="B24:C24"/>
    <mergeCell ref="B19:C19"/>
    <mergeCell ref="D19:E19"/>
    <mergeCell ref="F29:G29"/>
    <mergeCell ref="I20:K20"/>
    <mergeCell ref="G21:H21"/>
    <mergeCell ref="B14:D15"/>
    <mergeCell ref="E14:F14"/>
    <mergeCell ref="B17:C17"/>
    <mergeCell ref="D17:E17"/>
    <mergeCell ref="B18:C18"/>
    <mergeCell ref="D18:E18"/>
  </mergeCells>
  <conditionalFormatting sqref="E15:F15 G13:G15 G12:I12 E6:E14 G6:I6">
    <cfRule type="duplicateValues" dxfId="35" priority="7"/>
  </conditionalFormatting>
  <conditionalFormatting sqref="C13 G13:G15 G12:I12 E15:F15 E6:E14 G6:I6">
    <cfRule type="duplicateValues" dxfId="34" priority="6"/>
  </conditionalFormatting>
  <conditionalFormatting sqref="E7 G7:I7">
    <cfRule type="duplicateValues" dxfId="33" priority="5"/>
  </conditionalFormatting>
  <conditionalFormatting sqref="E7 G7:I7">
    <cfRule type="duplicateValues" dxfId="32" priority="4"/>
  </conditionalFormatting>
  <conditionalFormatting sqref="E8:E11 G8:I11">
    <cfRule type="duplicateValues" dxfId="31" priority="3"/>
  </conditionalFormatting>
  <conditionalFormatting sqref="E8:E11 G8:I11">
    <cfRule type="duplicateValues" dxfId="30" priority="2"/>
  </conditionalFormatting>
  <conditionalFormatting sqref="C13 G7:G9 G11:G12">
    <cfRule type="duplicateValues" dxfId="29" priority="1"/>
  </conditionalFormatting>
  <pageMargins left="0.24" right="0.26" top="0.78740157480314965" bottom="0.78740157480314965" header="0.31496062992125984" footer="0.31496062992125984"/>
  <pageSetup paperSize="9" scale="85" orientation="portrait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MP100692_Botão1_Clique">
                <anchor moveWithCells="1" sizeWithCells="1">
                  <from>
                    <xdr:col>13</xdr:col>
                    <xdr:colOff>342900</xdr:colOff>
                    <xdr:row>0</xdr:row>
                    <xdr:rowOff>83820</xdr:rowOff>
                  </from>
                  <to>
                    <xdr:col>14</xdr:col>
                    <xdr:colOff>106680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32">
    <tabColor theme="9"/>
  </sheetPr>
  <dimension ref="A1:T43"/>
  <sheetViews>
    <sheetView zoomScaleNormal="100" workbookViewId="0">
      <selection activeCell="N7" sqref="N7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0.33203125" style="60" customWidth="1"/>
    <col min="6" max="6" width="4" style="60" customWidth="1"/>
    <col min="7" max="7" width="8.6640625" style="60" customWidth="1"/>
    <col min="8" max="8" width="0.88671875" style="59" customWidth="1"/>
    <col min="9" max="9" width="8.6640625" style="59" customWidth="1"/>
    <col min="10" max="10" width="10.6640625" style="59" customWidth="1"/>
    <col min="11" max="11" width="10.6640625" style="60" customWidth="1"/>
    <col min="12" max="12" width="3.33203125" style="60" customWidth="1"/>
    <col min="13" max="13" width="5.109375" style="60" customWidth="1"/>
    <col min="14" max="14" width="13.88671875" style="60" customWidth="1"/>
    <col min="15" max="15" width="10.6640625" style="60" customWidth="1"/>
    <col min="16" max="16" width="10" style="59" customWidth="1"/>
    <col min="17" max="16384" width="9.109375" style="59"/>
  </cols>
  <sheetData>
    <row r="1" spans="1:16" ht="17.25" customHeight="1">
      <c r="A1" s="125"/>
      <c r="B1" s="473" t="s">
        <v>373</v>
      </c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</row>
    <row r="2" spans="1:16" ht="16.5" customHeight="1">
      <c r="A2" s="126"/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</row>
    <row r="3" spans="1:16" ht="16.5" customHeight="1">
      <c r="A3" s="126"/>
      <c r="B3" s="462" t="s">
        <v>297</v>
      </c>
      <c r="C3" s="462"/>
      <c r="D3" s="434" t="s">
        <v>326</v>
      </c>
      <c r="E3" s="434"/>
      <c r="F3" s="434"/>
      <c r="G3" s="67"/>
      <c r="H3" s="67"/>
      <c r="I3" s="67"/>
      <c r="J3" s="67"/>
      <c r="K3" s="67"/>
    </row>
    <row r="4" spans="1:16" ht="13.5" customHeight="1">
      <c r="A4" s="126"/>
    </row>
    <row r="5" spans="1:16" ht="15" customHeight="1">
      <c r="A5" s="126"/>
      <c r="E5" s="468" t="s">
        <v>308</v>
      </c>
      <c r="F5" s="468"/>
      <c r="G5" s="468" t="s">
        <v>305</v>
      </c>
      <c r="H5" s="468"/>
      <c r="I5" s="468"/>
      <c r="J5" s="468"/>
      <c r="K5" s="468"/>
      <c r="N5" s="553" t="s">
        <v>393</v>
      </c>
      <c r="O5" s="554"/>
      <c r="P5" s="555"/>
    </row>
    <row r="6" spans="1:16" ht="15" customHeight="1">
      <c r="A6" s="126"/>
      <c r="B6" s="459" t="s">
        <v>355</v>
      </c>
      <c r="C6" s="460"/>
      <c r="D6" s="461"/>
      <c r="E6" s="483">
        <v>2254080</v>
      </c>
      <c r="F6" s="483"/>
      <c r="G6" s="62"/>
      <c r="H6" s="477"/>
      <c r="I6" s="477"/>
      <c r="J6" s="138"/>
      <c r="K6" s="62"/>
      <c r="N6" s="154" t="s">
        <v>383</v>
      </c>
      <c r="O6" s="155" t="s">
        <v>298</v>
      </c>
      <c r="P6" s="155" t="s">
        <v>392</v>
      </c>
    </row>
    <row r="7" spans="1:16" ht="15" customHeight="1">
      <c r="A7" s="126"/>
      <c r="B7" s="453"/>
      <c r="C7" s="454"/>
      <c r="D7" s="455"/>
      <c r="E7" s="493"/>
      <c r="F7" s="482"/>
      <c r="G7" s="62"/>
      <c r="H7" s="477"/>
      <c r="I7" s="477"/>
      <c r="J7" s="62"/>
      <c r="K7" s="62"/>
      <c r="N7" s="64">
        <v>50</v>
      </c>
      <c r="O7" s="64">
        <v>50</v>
      </c>
      <c r="P7" s="124" t="s">
        <v>328</v>
      </c>
    </row>
    <row r="8" spans="1:16" ht="15" customHeight="1">
      <c r="A8" s="126"/>
      <c r="B8" s="453"/>
      <c r="C8" s="454"/>
      <c r="D8" s="455"/>
      <c r="E8" s="493"/>
      <c r="F8" s="482"/>
      <c r="G8" s="62"/>
      <c r="H8" s="477"/>
      <c r="I8" s="477"/>
      <c r="J8" s="62"/>
      <c r="K8" s="62"/>
      <c r="N8" s="64">
        <v>100</v>
      </c>
      <c r="O8" s="64">
        <v>100</v>
      </c>
      <c r="P8" s="124" t="s">
        <v>329</v>
      </c>
    </row>
    <row r="9" spans="1:16" ht="15" customHeight="1">
      <c r="A9" s="126"/>
      <c r="B9" s="453"/>
      <c r="C9" s="454"/>
      <c r="D9" s="455"/>
      <c r="E9" s="493"/>
      <c r="F9" s="482"/>
      <c r="G9" s="62"/>
      <c r="H9" s="477"/>
      <c r="I9" s="477"/>
      <c r="J9" s="62"/>
      <c r="K9" s="62"/>
      <c r="N9" s="64">
        <v>150</v>
      </c>
      <c r="O9" s="64">
        <v>150</v>
      </c>
      <c r="P9" s="124" t="s">
        <v>330</v>
      </c>
    </row>
    <row r="10" spans="1:16" ht="15" customHeight="1">
      <c r="A10" s="126"/>
      <c r="B10" s="453"/>
      <c r="C10" s="454"/>
      <c r="D10" s="455"/>
      <c r="E10" s="493"/>
      <c r="F10" s="482"/>
      <c r="G10" s="62"/>
      <c r="H10" s="477"/>
      <c r="I10" s="477"/>
      <c r="J10" s="62"/>
      <c r="K10" s="62"/>
      <c r="N10" s="64">
        <v>200</v>
      </c>
      <c r="O10" s="64">
        <v>200</v>
      </c>
      <c r="P10" s="124" t="s">
        <v>331</v>
      </c>
    </row>
    <row r="11" spans="1:16" ht="15" customHeight="1">
      <c r="A11" s="126"/>
      <c r="B11" s="453"/>
      <c r="C11" s="454"/>
      <c r="D11" s="455"/>
      <c r="E11" s="493"/>
      <c r="F11" s="482"/>
      <c r="G11" s="161"/>
      <c r="H11" s="477"/>
      <c r="I11" s="477"/>
      <c r="J11" s="62"/>
      <c r="K11" s="62"/>
      <c r="N11" s="64">
        <v>250</v>
      </c>
      <c r="O11" s="64">
        <v>250</v>
      </c>
      <c r="P11" s="124" t="s">
        <v>332</v>
      </c>
    </row>
    <row r="12" spans="1:16">
      <c r="A12" s="126"/>
      <c r="B12" s="453"/>
      <c r="C12" s="454"/>
      <c r="D12" s="455"/>
      <c r="E12" s="493"/>
      <c r="F12" s="482"/>
      <c r="G12" s="62"/>
      <c r="H12" s="477"/>
      <c r="I12" s="477"/>
      <c r="J12" s="62"/>
      <c r="K12" s="62"/>
      <c r="L12" s="59"/>
      <c r="N12" s="64">
        <v>300</v>
      </c>
      <c r="O12" s="64">
        <v>300</v>
      </c>
      <c r="P12" s="124" t="s">
        <v>333</v>
      </c>
    </row>
    <row r="13" spans="1:16">
      <c r="A13" s="126"/>
      <c r="B13" s="453"/>
      <c r="C13" s="454"/>
      <c r="D13" s="455"/>
      <c r="E13" s="493"/>
      <c r="F13" s="482"/>
      <c r="G13" s="62"/>
      <c r="H13" s="477"/>
      <c r="I13" s="477"/>
      <c r="J13" s="62"/>
      <c r="K13" s="62"/>
      <c r="N13" s="64">
        <v>350</v>
      </c>
      <c r="O13" s="64">
        <v>350</v>
      </c>
      <c r="P13" s="124" t="s">
        <v>334</v>
      </c>
    </row>
    <row r="14" spans="1:16">
      <c r="A14" s="126"/>
      <c r="B14" s="453"/>
      <c r="C14" s="454"/>
      <c r="D14" s="455"/>
      <c r="E14" s="493"/>
      <c r="F14" s="482"/>
      <c r="G14" s="62"/>
      <c r="H14" s="477"/>
      <c r="I14" s="477"/>
      <c r="J14" s="62"/>
      <c r="K14" s="62"/>
      <c r="N14" s="64">
        <v>400</v>
      </c>
      <c r="O14" s="64">
        <v>400</v>
      </c>
      <c r="P14" s="124" t="s">
        <v>335</v>
      </c>
    </row>
    <row r="15" spans="1:16">
      <c r="A15" s="126"/>
      <c r="B15" s="453"/>
      <c r="C15" s="454"/>
      <c r="D15" s="455"/>
      <c r="E15" s="493"/>
      <c r="F15" s="482"/>
      <c r="G15" s="62"/>
      <c r="H15" s="477"/>
      <c r="I15" s="477"/>
      <c r="J15" s="62"/>
      <c r="K15" s="62"/>
      <c r="N15" s="64">
        <v>450</v>
      </c>
      <c r="O15" s="64">
        <v>450</v>
      </c>
      <c r="P15" s="124" t="s">
        <v>336</v>
      </c>
    </row>
    <row r="16" spans="1:16">
      <c r="A16" s="126"/>
      <c r="B16" s="453"/>
      <c r="C16" s="454"/>
      <c r="D16" s="455"/>
      <c r="E16" s="493"/>
      <c r="F16" s="482"/>
      <c r="G16" s="62"/>
      <c r="H16" s="477"/>
      <c r="I16" s="477"/>
      <c r="J16" s="62"/>
      <c r="K16" s="62"/>
      <c r="N16" s="140">
        <v>500</v>
      </c>
      <c r="O16" s="140">
        <v>500</v>
      </c>
      <c r="P16" s="124" t="s">
        <v>337</v>
      </c>
    </row>
    <row r="17" spans="1:20">
      <c r="A17" s="126"/>
      <c r="B17" s="141"/>
      <c r="C17" s="151"/>
      <c r="D17" s="142"/>
      <c r="E17" s="493"/>
      <c r="F17" s="482"/>
      <c r="G17" s="62"/>
      <c r="H17" s="477"/>
      <c r="I17" s="477"/>
      <c r="J17" s="62"/>
      <c r="K17" s="62"/>
    </row>
    <row r="18" spans="1:20">
      <c r="A18" s="126"/>
      <c r="B18" s="453"/>
      <c r="C18" s="454"/>
      <c r="D18" s="455"/>
      <c r="E18" s="493"/>
      <c r="F18" s="482"/>
      <c r="G18" s="62"/>
      <c r="H18" s="477"/>
      <c r="I18" s="477"/>
      <c r="J18" s="62"/>
      <c r="K18" s="62"/>
      <c r="N18" s="551" t="s">
        <v>405</v>
      </c>
      <c r="O18" s="551"/>
      <c r="P18" s="551"/>
    </row>
    <row r="19" spans="1:20">
      <c r="A19" s="126"/>
      <c r="B19" s="456"/>
      <c r="C19" s="457"/>
      <c r="D19" s="458"/>
      <c r="E19" s="482"/>
      <c r="F19" s="483"/>
      <c r="G19" s="62"/>
      <c r="H19" s="477"/>
      <c r="I19" s="477"/>
      <c r="J19" s="62"/>
      <c r="K19" s="62"/>
      <c r="N19" s="551"/>
      <c r="O19" s="551"/>
      <c r="P19" s="551"/>
    </row>
    <row r="20" spans="1:20" ht="12.75" customHeight="1">
      <c r="A20" s="126"/>
      <c r="G20" s="59"/>
    </row>
    <row r="21" spans="1:20">
      <c r="A21" s="126"/>
      <c r="B21" s="443" t="s">
        <v>366</v>
      </c>
      <c r="C21" s="443"/>
      <c r="D21" s="447" t="s">
        <v>403</v>
      </c>
      <c r="E21" s="447"/>
      <c r="H21" s="128"/>
      <c r="I21" s="128"/>
    </row>
    <row r="22" spans="1:20">
      <c r="A22" s="126"/>
      <c r="B22" s="443" t="s">
        <v>356</v>
      </c>
      <c r="C22" s="443"/>
      <c r="D22" s="444" t="s">
        <v>417</v>
      </c>
      <c r="E22" s="444"/>
      <c r="G22" s="127"/>
      <c r="H22" s="128"/>
      <c r="I22" s="128"/>
      <c r="N22" s="65"/>
      <c r="O22" s="65"/>
      <c r="P22" s="65"/>
    </row>
    <row r="23" spans="1:20" ht="15" customHeight="1">
      <c r="A23" s="126"/>
      <c r="B23" s="445" t="s">
        <v>395</v>
      </c>
      <c r="C23" s="446"/>
      <c r="D23" s="444" t="s">
        <v>327</v>
      </c>
      <c r="E23" s="444"/>
      <c r="G23" s="127"/>
      <c r="H23" s="128"/>
      <c r="I23" s="128"/>
      <c r="N23" s="65"/>
      <c r="O23" s="65"/>
      <c r="P23" s="65"/>
    </row>
    <row r="24" spans="1:20" ht="19.5" customHeight="1">
      <c r="A24" s="126"/>
      <c r="I24" s="541" t="s">
        <v>372</v>
      </c>
      <c r="J24" s="541"/>
      <c r="K24" s="541"/>
      <c r="N24" s="65"/>
      <c r="O24" s="65"/>
      <c r="P24" s="65"/>
    </row>
    <row r="25" spans="1:20">
      <c r="A25" s="126"/>
      <c r="F25" s="59"/>
      <c r="G25" s="471"/>
      <c r="H25" s="542"/>
      <c r="I25" s="137" t="s">
        <v>357</v>
      </c>
      <c r="J25" s="137" t="s">
        <v>358</v>
      </c>
      <c r="K25" s="137" t="s">
        <v>368</v>
      </c>
      <c r="L25" s="543" t="s">
        <v>375</v>
      </c>
      <c r="M25" s="544"/>
      <c r="N25" s="65"/>
      <c r="O25" s="65"/>
      <c r="P25" s="65"/>
    </row>
    <row r="26" spans="1:20" ht="15.75" customHeight="1">
      <c r="A26" s="126"/>
      <c r="B26" s="436" t="s">
        <v>367</v>
      </c>
      <c r="C26" s="437"/>
      <c r="D26" s="438"/>
      <c r="E26" s="136" t="s">
        <v>375</v>
      </c>
      <c r="F26" s="59"/>
      <c r="G26" s="545" t="s">
        <v>370</v>
      </c>
      <c r="H26" s="545"/>
      <c r="I26" s="135" t="s">
        <v>369</v>
      </c>
      <c r="J26" s="135" t="s">
        <v>369</v>
      </c>
      <c r="K26" s="135" t="s">
        <v>278</v>
      </c>
      <c r="L26" s="546" t="s">
        <v>394</v>
      </c>
      <c r="M26" s="547"/>
      <c r="N26" s="65"/>
      <c r="O26" s="65"/>
      <c r="P26" s="65"/>
    </row>
    <row r="27" spans="1:20" s="65" customFormat="1" ht="17.25" customHeight="1">
      <c r="A27" s="126"/>
      <c r="B27" s="440" t="s">
        <v>357</v>
      </c>
      <c r="C27" s="441"/>
      <c r="D27" s="131" t="s">
        <v>359</v>
      </c>
      <c r="E27" s="131" t="s">
        <v>374</v>
      </c>
      <c r="F27" s="60"/>
      <c r="G27" s="548" t="s">
        <v>371</v>
      </c>
      <c r="H27" s="548"/>
      <c r="I27" s="143" t="s">
        <v>278</v>
      </c>
      <c r="J27" s="143" t="s">
        <v>278</v>
      </c>
      <c r="K27" s="143" t="s">
        <v>278</v>
      </c>
      <c r="L27" s="546" t="s">
        <v>278</v>
      </c>
      <c r="M27" s="547"/>
      <c r="N27" s="61"/>
      <c r="O27" s="66"/>
      <c r="P27" s="59"/>
    </row>
    <row r="28" spans="1:20" s="65" customFormat="1" ht="18.75" customHeight="1">
      <c r="A28" s="129"/>
      <c r="B28" s="440" t="s">
        <v>358</v>
      </c>
      <c r="C28" s="441"/>
      <c r="D28" s="131" t="s">
        <v>389</v>
      </c>
      <c r="E28" s="131" t="s">
        <v>278</v>
      </c>
      <c r="G28" s="546" t="s">
        <v>376</v>
      </c>
      <c r="H28" s="552"/>
      <c r="I28" s="552"/>
      <c r="J28" s="552"/>
      <c r="K28" s="552"/>
      <c r="L28" s="552"/>
      <c r="M28" s="547"/>
      <c r="N28" s="61"/>
      <c r="O28" s="66"/>
      <c r="P28" s="59"/>
    </row>
    <row r="29" spans="1:20" s="65" customFormat="1" ht="20.100000000000001" customHeight="1">
      <c r="A29" s="129"/>
      <c r="N29" s="61"/>
      <c r="O29" s="66"/>
      <c r="P29" s="59"/>
    </row>
    <row r="30" spans="1:20" s="65" customFormat="1" ht="20.100000000000001" hidden="1" customHeight="1">
      <c r="A30" s="129"/>
      <c r="C30" s="149" t="s">
        <v>360</v>
      </c>
      <c r="L30" s="61"/>
      <c r="N30" s="61"/>
      <c r="O30" s="66"/>
      <c r="P30" s="59"/>
    </row>
    <row r="31" spans="1:20" s="65" customFormat="1" ht="16.5" hidden="1" customHeight="1">
      <c r="A31" s="129"/>
      <c r="B31" s="144" t="s">
        <v>361</v>
      </c>
      <c r="C31" s="147" t="s">
        <v>404</v>
      </c>
      <c r="D31" s="145"/>
      <c r="E31" s="145"/>
      <c r="L31" s="66"/>
      <c r="N31" s="61"/>
      <c r="O31" s="66"/>
      <c r="P31" s="59"/>
      <c r="Q31" s="59"/>
      <c r="R31" s="59"/>
      <c r="S31" s="59"/>
      <c r="T31" s="59"/>
    </row>
    <row r="32" spans="1:20" s="65" customFormat="1" ht="20.100000000000001" hidden="1" customHeight="1">
      <c r="A32" s="129"/>
      <c r="B32" s="144" t="s">
        <v>306</v>
      </c>
      <c r="C32" s="147" t="s">
        <v>404</v>
      </c>
      <c r="D32" s="132"/>
      <c r="L32" s="66"/>
      <c r="M32" s="66"/>
      <c r="N32" s="60"/>
      <c r="O32" s="60"/>
      <c r="P32" s="59"/>
      <c r="Q32" s="59"/>
      <c r="R32" s="59"/>
      <c r="S32" s="59"/>
      <c r="T32" s="59"/>
    </row>
    <row r="33" spans="1:20" s="65" customFormat="1" ht="22.5" hidden="1" customHeight="1">
      <c r="A33" s="129"/>
      <c r="B33" s="144" t="s">
        <v>362</v>
      </c>
      <c r="C33" s="147" t="s">
        <v>404</v>
      </c>
      <c r="D33" s="145"/>
      <c r="E33" s="145"/>
      <c r="F33" s="433"/>
      <c r="G33" s="433"/>
      <c r="L33" s="66"/>
      <c r="M33" s="66"/>
      <c r="N33" s="60"/>
      <c r="O33" s="60"/>
      <c r="P33" s="59"/>
      <c r="Q33" s="59"/>
      <c r="R33" s="59"/>
      <c r="S33" s="59"/>
      <c r="T33" s="59"/>
    </row>
    <row r="34" spans="1:20" s="65" customFormat="1" ht="21" hidden="1" customHeight="1">
      <c r="A34" s="129"/>
      <c r="B34" s="144" t="s">
        <v>363</v>
      </c>
      <c r="C34" s="148" t="s">
        <v>278</v>
      </c>
      <c r="D34" s="146"/>
      <c r="F34" s="132"/>
      <c r="L34" s="61"/>
      <c r="M34" s="66"/>
      <c r="N34" s="60"/>
      <c r="O34" s="60"/>
      <c r="P34" s="59"/>
      <c r="Q34" s="59"/>
      <c r="R34" s="59"/>
      <c r="S34" s="59"/>
      <c r="T34" s="59"/>
    </row>
    <row r="35" spans="1:20" s="65" customFormat="1" ht="20.100000000000001" customHeight="1">
      <c r="A35" s="129"/>
      <c r="B35" s="134"/>
      <c r="F35" s="132"/>
      <c r="L35" s="61"/>
      <c r="M35" s="66"/>
      <c r="N35" s="60"/>
      <c r="O35" s="60"/>
      <c r="P35" s="59"/>
      <c r="Q35" s="59"/>
      <c r="R35" s="59"/>
      <c r="S35" s="59"/>
      <c r="T35" s="59"/>
    </row>
    <row r="36" spans="1:20" s="65" customFormat="1" ht="17.25" customHeight="1">
      <c r="A36" s="129"/>
      <c r="F36" s="132"/>
      <c r="K36" s="61"/>
      <c r="L36" s="61"/>
      <c r="M36" s="66"/>
      <c r="N36" s="60"/>
      <c r="O36" s="60"/>
      <c r="P36" s="59"/>
      <c r="Q36" s="59"/>
      <c r="R36" s="59"/>
      <c r="S36" s="59"/>
    </row>
    <row r="37" spans="1:20" s="60" customFormat="1" ht="21.75" customHeight="1">
      <c r="A37" s="129"/>
      <c r="B37" s="65"/>
      <c r="C37" s="65"/>
      <c r="D37" s="65"/>
      <c r="E37" s="65"/>
      <c r="F37" s="132"/>
      <c r="G37" s="61"/>
      <c r="H37" s="65"/>
      <c r="I37" s="65"/>
      <c r="J37" s="65"/>
      <c r="P37" s="59"/>
      <c r="Q37" s="59"/>
      <c r="R37" s="59"/>
      <c r="S37" s="59"/>
      <c r="T37" s="59"/>
    </row>
    <row r="38" spans="1:20" s="60" customFormat="1">
      <c r="A38" s="126"/>
      <c r="B38" s="59"/>
      <c r="C38" s="59"/>
      <c r="D38" s="59"/>
      <c r="E38" s="59"/>
      <c r="H38" s="59"/>
      <c r="I38" s="59"/>
      <c r="J38" s="59"/>
      <c r="P38" s="59"/>
      <c r="Q38" s="59"/>
      <c r="R38" s="59"/>
      <c r="S38" s="59"/>
      <c r="T38" s="59"/>
    </row>
    <row r="39" spans="1:20" s="60" customFormat="1">
      <c r="A39" s="126"/>
      <c r="B39" s="59"/>
      <c r="C39" s="59"/>
      <c r="D39" s="59"/>
      <c r="H39" s="59"/>
      <c r="I39" s="59"/>
      <c r="J39" s="59"/>
      <c r="P39" s="59"/>
      <c r="Q39" s="59"/>
      <c r="R39" s="59"/>
      <c r="S39" s="59"/>
      <c r="T39" s="59"/>
    </row>
    <row r="40" spans="1:20" s="60" customFormat="1">
      <c r="A40" s="126"/>
      <c r="B40" s="59"/>
      <c r="C40" s="59"/>
      <c r="D40" s="59"/>
      <c r="H40" s="59"/>
      <c r="I40" s="59"/>
      <c r="J40" s="59"/>
      <c r="P40" s="59"/>
      <c r="Q40" s="59"/>
      <c r="R40" s="59"/>
      <c r="S40" s="59"/>
      <c r="T40" s="59"/>
    </row>
    <row r="41" spans="1:20" s="60" customFormat="1">
      <c r="A41" s="126"/>
      <c r="B41" s="59"/>
      <c r="C41" s="59"/>
      <c r="D41" s="59"/>
      <c r="E41" s="60" t="s">
        <v>309</v>
      </c>
      <c r="H41" s="59"/>
      <c r="I41" s="59"/>
      <c r="J41" s="59"/>
      <c r="P41" s="59"/>
      <c r="Q41" s="59"/>
      <c r="R41" s="59"/>
      <c r="S41" s="59"/>
      <c r="T41" s="59"/>
    </row>
    <row r="42" spans="1:20" s="60" customFormat="1">
      <c r="A42" s="126"/>
      <c r="B42" s="59"/>
      <c r="C42" s="59"/>
      <c r="D42" s="59"/>
      <c r="H42" s="59"/>
      <c r="I42" s="59"/>
      <c r="J42" s="59"/>
      <c r="P42" s="59"/>
      <c r="Q42" s="59"/>
      <c r="R42" s="59"/>
      <c r="S42" s="59"/>
      <c r="T42" s="59"/>
    </row>
    <row r="43" spans="1:20" s="60" customFormat="1">
      <c r="A43" s="59"/>
      <c r="B43" s="59"/>
      <c r="C43" s="59"/>
      <c r="D43" s="59"/>
      <c r="H43" s="59"/>
      <c r="I43" s="59"/>
      <c r="J43" s="59"/>
      <c r="P43" s="59"/>
      <c r="Q43" s="59"/>
      <c r="R43" s="59"/>
      <c r="S43" s="59"/>
      <c r="T43" s="59"/>
    </row>
  </sheetData>
  <sheetProtection algorithmName="SHA-512" hashValue="/ZdyAdibHC8a1QMXu6sYrlLFWogwBpL0ghUsui+L5FIC5IG7SduP+25jZAp0QX48LhhOiJ3x5f7uHHaTjsGjtA==" saltValue="meyMJY8Hd7KbH8jDjJUX1w==" spinCount="100000" sheet="1" objects="1" scenarios="1"/>
  <mergeCells count="55">
    <mergeCell ref="B1:P2"/>
    <mergeCell ref="E9:F9"/>
    <mergeCell ref="H9:I9"/>
    <mergeCell ref="E10:F10"/>
    <mergeCell ref="H10:I10"/>
    <mergeCell ref="N5:P5"/>
    <mergeCell ref="B3:C3"/>
    <mergeCell ref="D3:F3"/>
    <mergeCell ref="E5:F5"/>
    <mergeCell ref="G5:K5"/>
    <mergeCell ref="E11:F11"/>
    <mergeCell ref="H11:I11"/>
    <mergeCell ref="H12:I12"/>
    <mergeCell ref="E14:F14"/>
    <mergeCell ref="H14:I14"/>
    <mergeCell ref="E15:F15"/>
    <mergeCell ref="H15:I15"/>
    <mergeCell ref="E13:F13"/>
    <mergeCell ref="H13:I13"/>
    <mergeCell ref="E12:F12"/>
    <mergeCell ref="E16:F16"/>
    <mergeCell ref="H16:I16"/>
    <mergeCell ref="E17:F17"/>
    <mergeCell ref="H17:I17"/>
    <mergeCell ref="B18:D19"/>
    <mergeCell ref="E18:F18"/>
    <mergeCell ref="H18:I18"/>
    <mergeCell ref="E19:F19"/>
    <mergeCell ref="H19:I19"/>
    <mergeCell ref="B6:D16"/>
    <mergeCell ref="E6:F6"/>
    <mergeCell ref="H6:I6"/>
    <mergeCell ref="E7:F7"/>
    <mergeCell ref="H7:I7"/>
    <mergeCell ref="E8:F8"/>
    <mergeCell ref="H8:I8"/>
    <mergeCell ref="F33:G33"/>
    <mergeCell ref="I24:K24"/>
    <mergeCell ref="G25:H25"/>
    <mergeCell ref="L25:M25"/>
    <mergeCell ref="B26:D26"/>
    <mergeCell ref="G26:H26"/>
    <mergeCell ref="L26:M26"/>
    <mergeCell ref="N18:P19"/>
    <mergeCell ref="B27:C27"/>
    <mergeCell ref="G27:H27"/>
    <mergeCell ref="L27:M27"/>
    <mergeCell ref="B28:C28"/>
    <mergeCell ref="G28:M28"/>
    <mergeCell ref="B21:C21"/>
    <mergeCell ref="D21:E21"/>
    <mergeCell ref="B22:C22"/>
    <mergeCell ref="D22:E22"/>
    <mergeCell ref="B23:C23"/>
    <mergeCell ref="D23:E23"/>
  </mergeCells>
  <conditionalFormatting sqref="G15:G19 H15:J15 E19:F19 G12:I12 E6:E18 G6:I6">
    <cfRule type="duplicateValues" dxfId="28" priority="7"/>
  </conditionalFormatting>
  <conditionalFormatting sqref="C17 G15:G19 H15:J15 G12:I12 E19:F19 E6:E18 G6:I6">
    <cfRule type="duplicateValues" dxfId="27" priority="6"/>
  </conditionalFormatting>
  <conditionalFormatting sqref="E7 G7:I7">
    <cfRule type="duplicateValues" dxfId="26" priority="5"/>
  </conditionalFormatting>
  <conditionalFormatting sqref="E7 G7:I7">
    <cfRule type="duplicateValues" dxfId="25" priority="4"/>
  </conditionalFormatting>
  <conditionalFormatting sqref="E8:E11 G8:I11">
    <cfRule type="duplicateValues" dxfId="24" priority="3"/>
  </conditionalFormatting>
  <conditionalFormatting sqref="E8:E11 G8:I11">
    <cfRule type="duplicateValues" dxfId="23" priority="2"/>
  </conditionalFormatting>
  <conditionalFormatting sqref="G7:G9 G11:G12 G14:G16 C17">
    <cfRule type="duplicateValues" dxfId="22" priority="1"/>
  </conditionalFormatting>
  <pageMargins left="0.24" right="0.26" top="0.78740157480314965" bottom="0.78740157480314965" header="0.31496062992125984" footer="0.31496062992125984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MP100692_Botão1_Clique">
                <anchor moveWithCells="1" sizeWithCells="1">
                  <from>
                    <xdr:col>13</xdr:col>
                    <xdr:colOff>723900</xdr:colOff>
                    <xdr:row>0</xdr:row>
                    <xdr:rowOff>60960</xdr:rowOff>
                  </from>
                  <to>
                    <xdr:col>14</xdr:col>
                    <xdr:colOff>487680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3">
    <tabColor theme="9"/>
  </sheetPr>
  <dimension ref="A1:S38"/>
  <sheetViews>
    <sheetView zoomScaleNormal="100" workbookViewId="0">
      <selection activeCell="R9" sqref="R9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4.33203125" style="60" customWidth="1"/>
    <col min="6" max="6" width="12" style="60" customWidth="1"/>
    <col min="7" max="7" width="13.88671875" style="60" customWidth="1"/>
    <col min="8" max="8" width="13.33203125" style="59" customWidth="1"/>
    <col min="9" max="9" width="10.6640625" style="60" customWidth="1"/>
    <col min="10" max="10" width="3.6640625" style="60" customWidth="1"/>
    <col min="11" max="11" width="6.6640625" style="60" customWidth="1"/>
    <col min="12" max="13" width="9.109375" style="60"/>
    <col min="14" max="14" width="9.109375" style="59"/>
    <col min="15" max="15" width="10" style="59" customWidth="1"/>
    <col min="16" max="16" width="4.44140625" style="59" customWidth="1"/>
    <col min="17" max="16384" width="9.109375" style="59"/>
  </cols>
  <sheetData>
    <row r="1" spans="1:15" ht="17.25" customHeight="1">
      <c r="A1" s="125"/>
      <c r="B1" s="432" t="s">
        <v>373</v>
      </c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</row>
    <row r="2" spans="1:15" ht="16.5" customHeight="1">
      <c r="A2" s="126"/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</row>
    <row r="3" spans="1:15" ht="16.5" customHeight="1">
      <c r="A3" s="126"/>
      <c r="B3" s="462" t="s">
        <v>297</v>
      </c>
      <c r="C3" s="462"/>
      <c r="D3" s="434" t="s">
        <v>339</v>
      </c>
      <c r="E3" s="434"/>
      <c r="F3" s="179"/>
      <c r="G3" s="67"/>
      <c r="H3" s="67"/>
      <c r="I3" s="67"/>
    </row>
    <row r="4" spans="1:15" ht="16.5" customHeight="1">
      <c r="E4" s="179"/>
      <c r="F4" s="179"/>
      <c r="G4" s="67"/>
      <c r="H4" s="67"/>
      <c r="I4" s="67"/>
    </row>
    <row r="5" spans="1:15" ht="18" customHeight="1">
      <c r="A5" s="126"/>
      <c r="E5" s="469" t="s">
        <v>416</v>
      </c>
      <c r="F5" s="470"/>
      <c r="G5" s="467" t="s">
        <v>422</v>
      </c>
      <c r="H5" s="468"/>
      <c r="I5" s="468" t="s">
        <v>354</v>
      </c>
    </row>
    <row r="6" spans="1:15" ht="18" customHeight="1">
      <c r="A6" s="126"/>
      <c r="E6" s="181" t="s">
        <v>411</v>
      </c>
      <c r="F6" s="181" t="s">
        <v>358</v>
      </c>
      <c r="G6" s="472"/>
      <c r="H6" s="468"/>
      <c r="I6" s="468"/>
    </row>
    <row r="7" spans="1:15" ht="15" customHeight="1">
      <c r="A7" s="126"/>
      <c r="B7" s="459" t="s">
        <v>355</v>
      </c>
      <c r="C7" s="460"/>
      <c r="D7" s="461"/>
      <c r="E7" s="172">
        <v>7342612</v>
      </c>
      <c r="F7" s="172" t="s">
        <v>445</v>
      </c>
      <c r="G7" s="150"/>
      <c r="H7" s="138"/>
      <c r="I7" s="62">
        <v>2</v>
      </c>
    </row>
    <row r="8" spans="1:15">
      <c r="A8" s="126"/>
      <c r="B8" s="453"/>
      <c r="C8" s="454"/>
      <c r="D8" s="455"/>
      <c r="E8" s="172">
        <v>1452923</v>
      </c>
      <c r="F8" s="172" t="s">
        <v>446</v>
      </c>
      <c r="G8" s="62">
        <v>3844452</v>
      </c>
      <c r="H8" s="62"/>
      <c r="I8" s="62">
        <v>1</v>
      </c>
      <c r="J8" s="59"/>
    </row>
    <row r="9" spans="1:15">
      <c r="A9" s="126"/>
      <c r="B9" s="453"/>
      <c r="C9" s="454"/>
      <c r="D9" s="455"/>
      <c r="E9" s="172">
        <v>1453042</v>
      </c>
      <c r="F9" s="172" t="s">
        <v>446</v>
      </c>
      <c r="G9" s="62">
        <v>2031533</v>
      </c>
      <c r="H9" s="62"/>
      <c r="I9" s="62">
        <v>1</v>
      </c>
    </row>
    <row r="10" spans="1:15">
      <c r="A10" s="126"/>
      <c r="B10" s="453"/>
      <c r="C10" s="454"/>
      <c r="D10" s="455"/>
      <c r="E10" s="172">
        <v>1453043</v>
      </c>
      <c r="F10" s="172" t="s">
        <v>446</v>
      </c>
      <c r="G10" s="62">
        <v>8880814</v>
      </c>
      <c r="H10" s="62"/>
      <c r="I10" s="62">
        <v>1</v>
      </c>
    </row>
    <row r="11" spans="1:15">
      <c r="A11" s="126"/>
      <c r="B11" s="453"/>
      <c r="C11" s="454"/>
      <c r="D11" s="455"/>
      <c r="E11" s="172">
        <v>7985563</v>
      </c>
      <c r="F11" s="172" t="s">
        <v>445</v>
      </c>
      <c r="G11" s="62"/>
      <c r="H11" s="62"/>
      <c r="I11" s="62">
        <v>2</v>
      </c>
    </row>
    <row r="12" spans="1:15">
      <c r="A12" s="126"/>
      <c r="B12" s="453"/>
      <c r="C12" s="454"/>
      <c r="D12" s="455"/>
      <c r="E12" s="169">
        <v>1453041</v>
      </c>
      <c r="F12" s="172" t="s">
        <v>446</v>
      </c>
      <c r="G12" s="62">
        <v>2031533</v>
      </c>
      <c r="H12" s="62"/>
      <c r="I12" s="62">
        <v>1</v>
      </c>
    </row>
    <row r="13" spans="1:15">
      <c r="A13" s="126"/>
      <c r="B13" s="141"/>
      <c r="C13" s="219">
        <v>6924637</v>
      </c>
      <c r="D13" s="142"/>
      <c r="E13" s="169">
        <v>7341852</v>
      </c>
      <c r="F13" s="172" t="s">
        <v>445</v>
      </c>
      <c r="G13" s="62"/>
      <c r="H13" s="62"/>
      <c r="I13" s="62">
        <v>2</v>
      </c>
    </row>
    <row r="14" spans="1:15">
      <c r="A14" s="126"/>
      <c r="B14" s="453"/>
      <c r="C14" s="454"/>
      <c r="D14" s="455"/>
      <c r="E14" s="169">
        <v>871345</v>
      </c>
      <c r="F14" s="172"/>
      <c r="G14" s="62"/>
      <c r="H14" s="62"/>
      <c r="I14" s="62">
        <v>1</v>
      </c>
    </row>
    <row r="15" spans="1:15">
      <c r="A15" s="126"/>
      <c r="B15" s="456"/>
      <c r="C15" s="457"/>
      <c r="D15" s="458"/>
      <c r="E15" s="169"/>
      <c r="F15" s="172"/>
      <c r="G15" s="62"/>
      <c r="H15" s="62"/>
      <c r="I15" s="62"/>
    </row>
    <row r="16" spans="1:15" ht="7.5" customHeight="1">
      <c r="A16" s="126"/>
      <c r="G16" s="59"/>
    </row>
    <row r="17" spans="1:19">
      <c r="A17" s="126"/>
      <c r="B17" s="443" t="s">
        <v>366</v>
      </c>
      <c r="C17" s="443"/>
      <c r="D17" s="447" t="s">
        <v>412</v>
      </c>
      <c r="E17" s="447"/>
    </row>
    <row r="18" spans="1:19">
      <c r="A18" s="126"/>
      <c r="B18" s="443" t="s">
        <v>356</v>
      </c>
      <c r="C18" s="443"/>
      <c r="D18" s="444" t="s">
        <v>417</v>
      </c>
      <c r="E18" s="444"/>
      <c r="G18" s="127"/>
    </row>
    <row r="19" spans="1:19" ht="15" customHeight="1">
      <c r="A19" s="126"/>
      <c r="B19" s="445" t="s">
        <v>365</v>
      </c>
      <c r="C19" s="446"/>
      <c r="D19" s="444" t="s">
        <v>316</v>
      </c>
      <c r="E19" s="444"/>
      <c r="G19" s="127"/>
    </row>
    <row r="20" spans="1:19">
      <c r="A20" s="126"/>
      <c r="F20" s="59"/>
      <c r="G20" s="173"/>
      <c r="H20" s="175"/>
      <c r="I20" s="175"/>
    </row>
    <row r="21" spans="1:19" ht="15.75" customHeight="1">
      <c r="A21" s="126"/>
      <c r="B21" s="436" t="s">
        <v>367</v>
      </c>
      <c r="C21" s="437"/>
      <c r="D21" s="438"/>
      <c r="E21" s="136" t="s">
        <v>375</v>
      </c>
      <c r="F21" s="59"/>
      <c r="G21" s="196"/>
      <c r="H21" s="173"/>
      <c r="I21" s="173"/>
    </row>
    <row r="22" spans="1:19" s="65" customFormat="1" ht="17.25" customHeight="1">
      <c r="A22" s="126"/>
      <c r="B22" s="440" t="s">
        <v>357</v>
      </c>
      <c r="C22" s="441"/>
      <c r="D22" s="131" t="s">
        <v>359</v>
      </c>
      <c r="E22" s="131" t="s">
        <v>374</v>
      </c>
      <c r="F22" s="60"/>
      <c r="G22" s="175"/>
      <c r="H22" s="132"/>
      <c r="I22" s="132"/>
      <c r="J22" s="61"/>
      <c r="K22" s="61"/>
    </row>
    <row r="23" spans="1:19" s="65" customFormat="1" ht="18.75" customHeight="1">
      <c r="A23" s="129"/>
      <c r="B23" s="440" t="s">
        <v>358</v>
      </c>
      <c r="C23" s="441"/>
      <c r="D23" s="131" t="s">
        <v>359</v>
      </c>
      <c r="E23" s="131" t="s">
        <v>374</v>
      </c>
      <c r="G23" s="433"/>
      <c r="H23" s="433"/>
      <c r="I23" s="433"/>
    </row>
    <row r="24" spans="1:19" s="65" customFormat="1" ht="20.100000000000001" customHeight="1">
      <c r="A24" s="129"/>
    </row>
    <row r="25" spans="1:19" s="65" customFormat="1">
      <c r="A25" s="129"/>
      <c r="B25" s="479" t="s">
        <v>614</v>
      </c>
      <c r="C25" s="479"/>
      <c r="D25" s="268" t="s">
        <v>607</v>
      </c>
      <c r="E25" s="268" t="s">
        <v>608</v>
      </c>
      <c r="G25" s="163"/>
      <c r="I25" s="61"/>
      <c r="J25" s="61"/>
      <c r="K25" s="66"/>
      <c r="L25" s="61"/>
    </row>
    <row r="26" spans="1:19" s="65" customFormat="1">
      <c r="A26" s="129"/>
      <c r="B26" s="556" t="s">
        <v>609</v>
      </c>
      <c r="C26" s="556"/>
      <c r="D26" s="267" t="s">
        <v>637</v>
      </c>
      <c r="E26" s="267" t="s">
        <v>612</v>
      </c>
      <c r="G26" s="163"/>
      <c r="I26" s="60"/>
      <c r="J26" s="60"/>
      <c r="K26" s="60"/>
      <c r="L26" s="60"/>
      <c r="P26" s="59"/>
      <c r="Q26" s="59"/>
      <c r="R26" s="59"/>
      <c r="S26" s="59"/>
    </row>
    <row r="27" spans="1:19" s="65" customFormat="1">
      <c r="A27" s="129"/>
      <c r="B27" s="556" t="s">
        <v>613</v>
      </c>
      <c r="C27" s="556"/>
      <c r="D27" s="267" t="s">
        <v>637</v>
      </c>
      <c r="E27" s="267" t="s">
        <v>610</v>
      </c>
      <c r="H27" s="59"/>
      <c r="I27" s="60"/>
      <c r="J27" s="60"/>
      <c r="K27" s="60"/>
      <c r="L27" s="60"/>
      <c r="O27" s="59"/>
      <c r="P27" s="59"/>
      <c r="Q27" s="59"/>
      <c r="R27" s="59"/>
      <c r="S27" s="59"/>
    </row>
    <row r="28" spans="1:19" s="65" customFormat="1">
      <c r="A28" s="129"/>
      <c r="B28" s="556" t="s">
        <v>467</v>
      </c>
      <c r="C28" s="556"/>
      <c r="D28" s="267" t="s">
        <v>638</v>
      </c>
      <c r="E28" s="267" t="s">
        <v>611</v>
      </c>
      <c r="H28" s="59"/>
      <c r="I28" s="60"/>
      <c r="J28" s="60"/>
      <c r="K28" s="60"/>
      <c r="L28" s="60"/>
      <c r="M28" s="66"/>
      <c r="N28" s="59"/>
      <c r="O28" s="59"/>
      <c r="P28" s="59"/>
      <c r="Q28" s="59"/>
      <c r="R28" s="59"/>
      <c r="S28" s="59"/>
    </row>
    <row r="29" spans="1:19" s="65" customFormat="1">
      <c r="A29" s="129"/>
      <c r="B29" s="556" t="s">
        <v>362</v>
      </c>
      <c r="C29" s="556"/>
      <c r="D29" s="557" t="s">
        <v>412</v>
      </c>
      <c r="E29" s="557"/>
      <c r="F29" s="433"/>
      <c r="G29" s="433"/>
      <c r="H29" s="59"/>
      <c r="I29" s="60"/>
      <c r="J29" s="60"/>
      <c r="K29" s="60"/>
      <c r="L29" s="60"/>
      <c r="M29" s="66"/>
      <c r="N29" s="59"/>
      <c r="O29" s="59"/>
      <c r="P29" s="59"/>
      <c r="Q29" s="59"/>
      <c r="R29" s="59"/>
      <c r="S29" s="59"/>
    </row>
    <row r="30" spans="1:19" s="65" customFormat="1" ht="21" customHeight="1">
      <c r="A30" s="129"/>
      <c r="F30" s="132"/>
      <c r="H30" s="59"/>
      <c r="I30" s="60"/>
      <c r="J30" s="60"/>
      <c r="K30" s="60"/>
      <c r="L30" s="60"/>
      <c r="M30" s="66"/>
      <c r="N30" s="59"/>
      <c r="O30" s="59"/>
      <c r="P30" s="59"/>
      <c r="Q30" s="59"/>
      <c r="R30" s="59"/>
      <c r="S30" s="59"/>
    </row>
    <row r="31" spans="1:19" s="65" customFormat="1" ht="20.100000000000001" customHeight="1">
      <c r="A31" s="129"/>
      <c r="F31" s="132"/>
      <c r="H31" s="59"/>
      <c r="I31" s="60"/>
      <c r="J31" s="60"/>
      <c r="K31" s="60"/>
      <c r="L31" s="60"/>
      <c r="M31" s="66"/>
      <c r="N31" s="59"/>
      <c r="O31" s="59"/>
      <c r="P31" s="59"/>
      <c r="Q31" s="59"/>
      <c r="R31" s="59"/>
      <c r="S31" s="59"/>
    </row>
    <row r="32" spans="1:19" s="65" customFormat="1" ht="17.25" customHeight="1">
      <c r="A32" s="129"/>
      <c r="F32" s="132"/>
      <c r="H32" s="59"/>
      <c r="I32" s="60"/>
      <c r="J32" s="60"/>
      <c r="K32" s="60"/>
      <c r="L32" s="60"/>
      <c r="M32" s="66"/>
      <c r="N32" s="59"/>
      <c r="O32" s="59"/>
      <c r="P32" s="59"/>
      <c r="Q32" s="59"/>
      <c r="R32" s="59"/>
    </row>
    <row r="33" spans="1:7" ht="21.75" customHeight="1">
      <c r="A33" s="129"/>
      <c r="B33" s="65"/>
      <c r="C33" s="65"/>
      <c r="D33" s="65"/>
      <c r="E33" s="65"/>
      <c r="F33" s="132"/>
      <c r="G33" s="61"/>
    </row>
    <row r="34" spans="1:7">
      <c r="A34" s="126"/>
      <c r="E34" s="59"/>
    </row>
    <row r="35" spans="1:7">
      <c r="A35" s="126"/>
    </row>
    <row r="36" spans="1:7">
      <c r="A36" s="126"/>
    </row>
    <row r="37" spans="1:7">
      <c r="A37" s="126"/>
      <c r="E37" s="60" t="s">
        <v>309</v>
      </c>
    </row>
    <row r="38" spans="1:7">
      <c r="A38" s="126"/>
    </row>
  </sheetData>
  <sheetProtection algorithmName="SHA-512" hashValue="fYD6J6vUIrse45Kn/K6h9qgy5BPCmLq81ritzx7yXJzd3tRWSPnx2FquOFTTKUrmy3nPDddvkrA9FuCqVB2ayg==" saltValue="jVaE7vel3GX9WdF6NUwAKw==" spinCount="100000" sheet="1" objects="1" scenarios="1"/>
  <mergeCells count="25">
    <mergeCell ref="I5:I6"/>
    <mergeCell ref="B1:O2"/>
    <mergeCell ref="B3:C3"/>
    <mergeCell ref="D3:E3"/>
    <mergeCell ref="E5:F5"/>
    <mergeCell ref="B7:D12"/>
    <mergeCell ref="G5:H6"/>
    <mergeCell ref="D19:E19"/>
    <mergeCell ref="B14:D15"/>
    <mergeCell ref="B17:C17"/>
    <mergeCell ref="D17:E17"/>
    <mergeCell ref="B18:C18"/>
    <mergeCell ref="D18:E18"/>
    <mergeCell ref="B19:C19"/>
    <mergeCell ref="B21:D21"/>
    <mergeCell ref="B22:C22"/>
    <mergeCell ref="D29:E29"/>
    <mergeCell ref="B25:C25"/>
    <mergeCell ref="B23:C23"/>
    <mergeCell ref="G23:I23"/>
    <mergeCell ref="F29:G29"/>
    <mergeCell ref="B28:C28"/>
    <mergeCell ref="B27:C27"/>
    <mergeCell ref="B26:C26"/>
    <mergeCell ref="B29:C29"/>
  </mergeCells>
  <conditionalFormatting sqref="G11:H11 G7:G8 E14:G15 E7:E13 G13">
    <cfRule type="duplicateValues" dxfId="21" priority="83"/>
  </conditionalFormatting>
  <conditionalFormatting sqref="C13 G7:G8 G11:H11 E14:G15 E7:E13 G13">
    <cfRule type="duplicateValues" dxfId="20" priority="87"/>
  </conditionalFormatting>
  <conditionalFormatting sqref="G7:H11 E7:E15 G13:H15">
    <cfRule type="duplicateValues" dxfId="19" priority="4"/>
  </conditionalFormatting>
  <conditionalFormatting sqref="G7:H11 C13 G13:H15">
    <cfRule type="duplicateValues" dxfId="18" priority="3"/>
  </conditionalFormatting>
  <conditionalFormatting sqref="G12:H12">
    <cfRule type="duplicateValues" dxfId="17" priority="2"/>
  </conditionalFormatting>
  <conditionalFormatting sqref="G12:H12">
    <cfRule type="duplicateValues" dxfId="16" priority="1"/>
  </conditionalFormatting>
  <pageMargins left="0.24" right="0.26" top="0.78740157480314965" bottom="0.78740157480314965" header="0.31496062992125984" footer="0.31496062992125984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MP100692_Botão1_Clique">
                <anchor moveWithCells="1" sizeWithCells="1">
                  <from>
                    <xdr:col>12</xdr:col>
                    <xdr:colOff>213360</xdr:colOff>
                    <xdr:row>0</xdr:row>
                    <xdr:rowOff>68580</xdr:rowOff>
                  </from>
                  <to>
                    <xdr:col>13</xdr:col>
                    <xdr:colOff>274320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34">
    <tabColor theme="9"/>
  </sheetPr>
  <dimension ref="A1:S33"/>
  <sheetViews>
    <sheetView zoomScaleNormal="100" workbookViewId="0">
      <selection activeCell="J5" sqref="J5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2" style="60" customWidth="1"/>
    <col min="6" max="6" width="13.109375" style="60" customWidth="1"/>
    <col min="7" max="7" width="10" style="59" customWidth="1"/>
    <col min="8" max="8" width="8.33203125" style="59" customWidth="1"/>
    <col min="9" max="9" width="10.6640625" style="60" customWidth="1"/>
    <col min="10" max="10" width="7.6640625" style="60" customWidth="1"/>
    <col min="11" max="11" width="11" style="60" bestFit="1" customWidth="1"/>
    <col min="12" max="12" width="13.6640625" style="60" customWidth="1"/>
    <col min="13" max="13" width="9.109375" style="60"/>
    <col min="14" max="14" width="9.109375" style="59"/>
    <col min="15" max="15" width="10" style="59" customWidth="1"/>
    <col min="16" max="16384" width="9.109375" style="59"/>
  </cols>
  <sheetData>
    <row r="1" spans="1:18" ht="17.25" customHeight="1">
      <c r="A1" s="125"/>
      <c r="B1" s="559" t="s">
        <v>373</v>
      </c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1"/>
    </row>
    <row r="2" spans="1:18" ht="16.5" customHeight="1">
      <c r="A2" s="126"/>
      <c r="B2" s="562"/>
      <c r="C2" s="563"/>
      <c r="D2" s="563"/>
      <c r="E2" s="563"/>
      <c r="F2" s="563"/>
      <c r="G2" s="563"/>
      <c r="H2" s="563"/>
      <c r="I2" s="563"/>
      <c r="J2" s="563"/>
      <c r="K2" s="563"/>
      <c r="L2" s="563"/>
      <c r="M2" s="563"/>
      <c r="N2" s="563"/>
      <c r="O2" s="563"/>
      <c r="P2" s="563"/>
      <c r="Q2" s="563"/>
      <c r="R2" s="564"/>
    </row>
    <row r="3" spans="1:18" ht="16.5" customHeight="1">
      <c r="A3" s="126"/>
      <c r="B3" s="462" t="s">
        <v>297</v>
      </c>
      <c r="C3" s="462"/>
      <c r="D3" s="434" t="s">
        <v>471</v>
      </c>
      <c r="E3" s="434"/>
      <c r="F3" s="67"/>
      <c r="G3" s="67"/>
      <c r="H3" s="67"/>
      <c r="I3" s="67"/>
      <c r="O3" s="565" t="s">
        <v>466</v>
      </c>
      <c r="P3" s="565"/>
      <c r="Q3" s="565"/>
      <c r="R3" s="565"/>
    </row>
    <row r="4" spans="1:18" ht="16.5" customHeight="1">
      <c r="A4" s="126"/>
      <c r="B4" s="179"/>
      <c r="C4" s="179"/>
      <c r="D4" s="179"/>
      <c r="E4" s="179"/>
      <c r="F4" s="67"/>
      <c r="G4" s="67"/>
      <c r="H4" s="67"/>
      <c r="I4" s="67"/>
    </row>
    <row r="5" spans="1:18" ht="13.5" customHeight="1">
      <c r="A5" s="126"/>
      <c r="E5" s="469" t="s">
        <v>416</v>
      </c>
      <c r="F5" s="472"/>
      <c r="G5" s="459" t="s">
        <v>419</v>
      </c>
      <c r="H5" s="498"/>
      <c r="I5" s="499"/>
    </row>
    <row r="6" spans="1:18" ht="13.5" customHeight="1">
      <c r="A6" s="126"/>
      <c r="E6" s="187" t="s">
        <v>411</v>
      </c>
      <c r="F6" s="182" t="s">
        <v>358</v>
      </c>
      <c r="G6" s="558"/>
      <c r="H6" s="500"/>
      <c r="I6" s="501"/>
      <c r="N6" s="60"/>
    </row>
    <row r="7" spans="1:18" ht="25.5" customHeight="1">
      <c r="A7" s="126"/>
      <c r="B7" s="459" t="s">
        <v>355</v>
      </c>
      <c r="C7" s="460"/>
      <c r="D7" s="461"/>
      <c r="E7" s="172">
        <v>6495750</v>
      </c>
      <c r="F7" s="210" t="s">
        <v>448</v>
      </c>
      <c r="G7" s="62">
        <v>7618263</v>
      </c>
      <c r="I7" s="140"/>
      <c r="N7" s="60"/>
    </row>
    <row r="8" spans="1:18">
      <c r="A8" s="126"/>
      <c r="B8" s="453"/>
      <c r="C8" s="454"/>
      <c r="D8" s="455"/>
      <c r="E8" s="62">
        <v>9090383</v>
      </c>
      <c r="F8" s="172"/>
      <c r="G8" s="171">
        <v>19308</v>
      </c>
      <c r="H8" s="62">
        <v>3495763</v>
      </c>
      <c r="I8" s="62"/>
      <c r="K8" s="59"/>
      <c r="N8" s="60"/>
    </row>
    <row r="9" spans="1:18">
      <c r="A9" s="126"/>
      <c r="B9" s="453"/>
      <c r="C9" s="454"/>
      <c r="D9" s="455"/>
      <c r="E9" s="172"/>
      <c r="F9" s="172"/>
      <c r="G9" s="62"/>
      <c r="H9" s="62"/>
      <c r="I9" s="62"/>
      <c r="N9" s="60"/>
    </row>
    <row r="10" spans="1:18">
      <c r="A10" s="126"/>
      <c r="B10" s="453"/>
      <c r="C10" s="454"/>
      <c r="D10" s="455"/>
      <c r="E10" s="172"/>
      <c r="F10" s="172"/>
      <c r="G10" s="62"/>
      <c r="H10" s="62"/>
      <c r="I10" s="62"/>
      <c r="N10" s="60"/>
    </row>
    <row r="11" spans="1:18">
      <c r="A11" s="126"/>
      <c r="B11" s="453"/>
      <c r="C11" s="454"/>
      <c r="D11" s="455"/>
      <c r="E11" s="172"/>
      <c r="F11" s="172"/>
      <c r="G11" s="62"/>
      <c r="H11" s="62"/>
      <c r="I11" s="62"/>
      <c r="N11" s="60"/>
    </row>
    <row r="12" spans="1:18">
      <c r="A12" s="126"/>
      <c r="B12" s="453"/>
      <c r="C12" s="454"/>
      <c r="D12" s="455"/>
      <c r="E12" s="169"/>
      <c r="F12" s="172"/>
      <c r="G12" s="62"/>
      <c r="H12" s="62"/>
      <c r="I12" s="62"/>
      <c r="N12" s="60"/>
    </row>
    <row r="13" spans="1:18">
      <c r="A13" s="126"/>
      <c r="B13" s="141"/>
      <c r="C13" s="219">
        <v>6495750</v>
      </c>
      <c r="D13" s="142"/>
      <c r="E13" s="169"/>
      <c r="F13" s="172"/>
      <c r="G13" s="62"/>
      <c r="H13" s="62"/>
      <c r="I13" s="62"/>
      <c r="N13" s="60"/>
    </row>
    <row r="14" spans="1:18">
      <c r="A14" s="126"/>
      <c r="B14" s="453"/>
      <c r="C14" s="454"/>
      <c r="D14" s="455"/>
      <c r="E14" s="169"/>
      <c r="F14" s="172"/>
      <c r="G14" s="62"/>
      <c r="H14" s="62"/>
      <c r="I14" s="62"/>
      <c r="N14" s="60"/>
    </row>
    <row r="15" spans="1:18">
      <c r="A15" s="126"/>
      <c r="B15" s="456"/>
      <c r="C15" s="457"/>
      <c r="D15" s="458"/>
      <c r="E15" s="169"/>
      <c r="F15" s="172"/>
      <c r="G15" s="62"/>
      <c r="H15" s="62"/>
      <c r="I15" s="62"/>
      <c r="N15" s="60"/>
    </row>
    <row r="16" spans="1:18" ht="7.5" customHeight="1">
      <c r="A16" s="126"/>
      <c r="I16" s="59"/>
      <c r="N16" s="60"/>
    </row>
    <row r="17" spans="1:19">
      <c r="A17" s="126"/>
      <c r="B17" s="443" t="s">
        <v>366</v>
      </c>
      <c r="C17" s="443"/>
      <c r="D17" s="447" t="s">
        <v>412</v>
      </c>
      <c r="E17" s="447"/>
      <c r="G17" s="128"/>
    </row>
    <row r="18" spans="1:19">
      <c r="A18" s="126"/>
      <c r="B18" s="443" t="s">
        <v>356</v>
      </c>
      <c r="C18" s="443"/>
      <c r="D18" s="444" t="s">
        <v>417</v>
      </c>
      <c r="E18" s="444"/>
      <c r="F18" s="127"/>
      <c r="G18" s="128"/>
    </row>
    <row r="19" spans="1:19" ht="15" customHeight="1">
      <c r="A19" s="126"/>
      <c r="B19" s="445" t="s">
        <v>365</v>
      </c>
      <c r="C19" s="446"/>
      <c r="D19" s="444" t="s">
        <v>319</v>
      </c>
      <c r="E19" s="444"/>
      <c r="F19" s="127"/>
      <c r="G19" s="128"/>
      <c r="K19" s="258" t="s">
        <v>469</v>
      </c>
      <c r="L19" s="258" t="s">
        <v>470</v>
      </c>
    </row>
    <row r="20" spans="1:19" ht="12" customHeight="1">
      <c r="A20" s="126"/>
      <c r="H20" s="435"/>
      <c r="I20" s="435"/>
      <c r="K20" s="255" t="s">
        <v>467</v>
      </c>
      <c r="L20" s="256" t="s">
        <v>629</v>
      </c>
    </row>
    <row r="21" spans="1:19" ht="15.75" customHeight="1">
      <c r="A21" s="126"/>
      <c r="B21" s="436" t="s">
        <v>367</v>
      </c>
      <c r="C21" s="437"/>
      <c r="D21" s="438"/>
      <c r="E21" s="136" t="s">
        <v>375</v>
      </c>
      <c r="F21" s="439"/>
      <c r="G21" s="439"/>
      <c r="H21" s="173"/>
      <c r="I21" s="173"/>
      <c r="K21" s="256" t="s">
        <v>468</v>
      </c>
      <c r="L21" s="256" t="s">
        <v>628</v>
      </c>
    </row>
    <row r="22" spans="1:19" s="65" customFormat="1" ht="17.25" customHeight="1">
      <c r="A22" s="126"/>
      <c r="B22" s="440" t="s">
        <v>357</v>
      </c>
      <c r="C22" s="441"/>
      <c r="D22" s="131" t="s">
        <v>359</v>
      </c>
      <c r="E22" s="131" t="s">
        <v>374</v>
      </c>
      <c r="F22" s="442"/>
      <c r="G22" s="442"/>
      <c r="H22" s="132"/>
      <c r="I22" s="132"/>
      <c r="J22" s="61"/>
      <c r="K22" s="257" t="s">
        <v>362</v>
      </c>
      <c r="L22" s="135" t="s">
        <v>412</v>
      </c>
      <c r="N22" s="59"/>
    </row>
    <row r="23" spans="1:19" s="65" customFormat="1" ht="18.75" customHeight="1">
      <c r="A23" s="129"/>
      <c r="B23" s="440" t="s">
        <v>358</v>
      </c>
      <c r="C23" s="441"/>
      <c r="D23" s="131" t="s">
        <v>359</v>
      </c>
      <c r="E23" s="131" t="s">
        <v>374</v>
      </c>
      <c r="F23" s="433"/>
      <c r="G23" s="433"/>
      <c r="H23" s="433"/>
      <c r="I23" s="433"/>
      <c r="N23" s="59"/>
    </row>
    <row r="24" spans="1:19" s="65" customFormat="1" ht="20.100000000000001" customHeight="1">
      <c r="A24" s="129"/>
    </row>
    <row r="25" spans="1:19" s="65" customFormat="1" ht="21" customHeight="1">
      <c r="A25" s="129"/>
      <c r="D25" s="59"/>
      <c r="E25" s="60"/>
      <c r="H25" s="59"/>
      <c r="I25" s="60"/>
      <c r="J25" s="60"/>
      <c r="K25" s="60"/>
      <c r="L25" s="60"/>
      <c r="M25" s="66"/>
      <c r="N25" s="59"/>
      <c r="O25" s="59"/>
      <c r="P25" s="59"/>
      <c r="Q25" s="59"/>
      <c r="R25" s="59"/>
      <c r="S25" s="59"/>
    </row>
    <row r="26" spans="1:19" s="65" customFormat="1" ht="20.100000000000001" customHeight="1">
      <c r="A26" s="129"/>
      <c r="D26" s="59"/>
      <c r="E26" s="60" t="s">
        <v>309</v>
      </c>
      <c r="H26" s="59"/>
      <c r="I26" s="60"/>
      <c r="J26" s="60"/>
      <c r="K26" s="60"/>
      <c r="L26" s="60"/>
      <c r="M26" s="66"/>
      <c r="N26" s="59"/>
      <c r="O26" s="59"/>
      <c r="P26" s="59"/>
      <c r="Q26" s="59"/>
      <c r="R26" s="59"/>
      <c r="S26" s="59"/>
    </row>
    <row r="27" spans="1:19" s="65" customFormat="1" ht="17.25" customHeight="1">
      <c r="A27" s="129"/>
      <c r="D27" s="59"/>
      <c r="E27" s="60"/>
      <c r="H27" s="59"/>
      <c r="I27" s="60"/>
      <c r="J27" s="60"/>
      <c r="K27" s="60"/>
      <c r="L27" s="60"/>
      <c r="M27" s="66"/>
      <c r="N27" s="59"/>
      <c r="O27" s="59"/>
      <c r="P27" s="59"/>
      <c r="Q27" s="59"/>
      <c r="R27" s="59"/>
    </row>
    <row r="28" spans="1:19" ht="21.75" customHeight="1">
      <c r="A28" s="129"/>
      <c r="F28" s="61"/>
      <c r="G28" s="65"/>
    </row>
    <row r="29" spans="1:19">
      <c r="A29" s="126"/>
    </row>
    <row r="30" spans="1:19">
      <c r="A30" s="126"/>
    </row>
    <row r="31" spans="1:19">
      <c r="A31" s="126"/>
    </row>
    <row r="32" spans="1:19">
      <c r="A32" s="126"/>
    </row>
    <row r="33" spans="1:1">
      <c r="A33" s="126"/>
    </row>
  </sheetData>
  <sheetProtection algorithmName="SHA-512" hashValue="X6Hg+yOBiuGtXcgzZ9IGsJfBd3vgWXZI4MicrIkqWgSIjVJSpRNCKASfFg04vHdkPaUg5k57rpQScUpOh4zNOw==" saltValue="EPlPBMXBPSTEq7SrnFIFPA==" spinCount="100000" sheet="1" objects="1" scenarios="1"/>
  <mergeCells count="21">
    <mergeCell ref="E5:F5"/>
    <mergeCell ref="G5:I6"/>
    <mergeCell ref="B1:R2"/>
    <mergeCell ref="B3:C3"/>
    <mergeCell ref="D3:E3"/>
    <mergeCell ref="O3:R3"/>
    <mergeCell ref="B14:D15"/>
    <mergeCell ref="B7:D12"/>
    <mergeCell ref="B17:C17"/>
    <mergeCell ref="D17:E17"/>
    <mergeCell ref="B18:C18"/>
    <mergeCell ref="D18:E18"/>
    <mergeCell ref="B19:C19"/>
    <mergeCell ref="D19:E19"/>
    <mergeCell ref="B23:C23"/>
    <mergeCell ref="F23:I23"/>
    <mergeCell ref="H20:I20"/>
    <mergeCell ref="B21:D21"/>
    <mergeCell ref="F21:G21"/>
    <mergeCell ref="B22:C22"/>
    <mergeCell ref="F22:G22"/>
  </mergeCells>
  <conditionalFormatting sqref="G11:G15 E9:F15 H11:I11 E7:F7 E8:H8">
    <cfRule type="duplicateValues" dxfId="15" priority="31"/>
  </conditionalFormatting>
  <conditionalFormatting sqref="E7:G7 G8:H8 C13">
    <cfRule type="duplicateValues" dxfId="14" priority="1"/>
  </conditionalFormatting>
  <conditionalFormatting sqref="G11:G15 C13 G8:H8 H11:I11 E7:F15">
    <cfRule type="duplicateValues" dxfId="13" priority="155"/>
  </conditionalFormatting>
  <pageMargins left="0.23622047244094491" right="0.27559055118110237" top="0.78740157480314965" bottom="0.78740157480314965" header="0.31496062992125984" footer="0.31496062992125984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MP100692_Botão1_Clique">
                <anchor moveWithCells="1" sizeWithCells="1">
                  <from>
                    <xdr:col>14</xdr:col>
                    <xdr:colOff>571500</xdr:colOff>
                    <xdr:row>0</xdr:row>
                    <xdr:rowOff>68580</xdr:rowOff>
                  </from>
                  <to>
                    <xdr:col>15</xdr:col>
                    <xdr:colOff>579120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9">
    <tabColor theme="9"/>
  </sheetPr>
  <dimension ref="A1:V37"/>
  <sheetViews>
    <sheetView zoomScaleNormal="100" workbookViewId="0">
      <selection activeCell="E7" sqref="E7:F7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0.33203125" style="60" customWidth="1"/>
    <col min="6" max="6" width="4" style="60" customWidth="1"/>
    <col min="7" max="7" width="11.6640625" style="60" customWidth="1"/>
    <col min="8" max="8" width="10.88671875" style="59" customWidth="1"/>
    <col min="9" max="9" width="11.109375" style="59" customWidth="1"/>
    <col min="10" max="10" width="4.44140625" style="59" customWidth="1"/>
    <col min="11" max="11" width="4.109375" style="59" customWidth="1"/>
    <col min="12" max="12" width="2.5546875" style="60" customWidth="1"/>
    <col min="13" max="13" width="11.6640625" style="60" customWidth="1"/>
    <col min="14" max="14" width="11.5546875" style="60" bestFit="1" customWidth="1"/>
    <col min="15" max="16" width="9.109375" style="60"/>
    <col min="17" max="17" width="9.109375" style="59"/>
    <col min="18" max="18" width="10" style="59" customWidth="1"/>
    <col min="19" max="16384" width="9.109375" style="59"/>
  </cols>
  <sheetData>
    <row r="1" spans="1:21" ht="19.5" customHeight="1">
      <c r="A1" s="125"/>
      <c r="B1" s="473" t="s">
        <v>373</v>
      </c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  <c r="Q1" s="473"/>
      <c r="R1" s="473"/>
      <c r="S1" s="473"/>
      <c r="T1" s="473"/>
      <c r="U1" s="473"/>
    </row>
    <row r="2" spans="1:21" ht="16.5" customHeight="1">
      <c r="A2" s="126"/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</row>
    <row r="3" spans="1:21" ht="16.5" customHeight="1">
      <c r="A3" s="126"/>
      <c r="B3" s="462" t="s">
        <v>297</v>
      </c>
      <c r="C3" s="462"/>
      <c r="D3" s="434" t="s">
        <v>314</v>
      </c>
      <c r="E3" s="434"/>
      <c r="F3" s="434"/>
      <c r="G3" s="67"/>
      <c r="H3" s="67"/>
      <c r="I3" s="67"/>
      <c r="J3" s="67"/>
      <c r="K3" s="67"/>
      <c r="L3" s="67"/>
    </row>
    <row r="4" spans="1:21" ht="6.75" customHeight="1">
      <c r="A4" s="126"/>
    </row>
    <row r="5" spans="1:21" ht="16.5" customHeight="1">
      <c r="A5" s="126"/>
      <c r="E5" s="468" t="s">
        <v>414</v>
      </c>
      <c r="F5" s="468"/>
      <c r="G5" s="468"/>
      <c r="H5" s="468"/>
      <c r="I5" s="467" t="s">
        <v>415</v>
      </c>
      <c r="J5" s="467"/>
      <c r="K5" s="467"/>
      <c r="L5" s="467"/>
      <c r="M5" s="467"/>
      <c r="Q5" s="60"/>
    </row>
    <row r="6" spans="1:21" ht="15" customHeight="1">
      <c r="A6" s="126"/>
      <c r="E6" s="508" t="s">
        <v>357</v>
      </c>
      <c r="F6" s="508"/>
      <c r="G6" s="181" t="s">
        <v>358</v>
      </c>
      <c r="H6" s="181" t="s">
        <v>409</v>
      </c>
      <c r="I6" s="467"/>
      <c r="J6" s="467"/>
      <c r="K6" s="467"/>
      <c r="L6" s="467"/>
      <c r="M6" s="467"/>
      <c r="Q6" s="60"/>
    </row>
    <row r="7" spans="1:21">
      <c r="A7" s="126"/>
      <c r="B7" s="459" t="s">
        <v>355</v>
      </c>
      <c r="C7" s="460"/>
      <c r="D7" s="461"/>
      <c r="E7" s="482">
        <v>1780630</v>
      </c>
      <c r="F7" s="483"/>
      <c r="G7" s="516" t="s">
        <v>427</v>
      </c>
      <c r="H7" s="516" t="s">
        <v>428</v>
      </c>
      <c r="I7" s="62"/>
      <c r="J7" s="477"/>
      <c r="K7" s="477"/>
      <c r="L7" s="477"/>
      <c r="M7" s="62"/>
      <c r="N7" s="59"/>
      <c r="Q7" s="60"/>
    </row>
    <row r="8" spans="1:21">
      <c r="A8" s="126"/>
      <c r="B8" s="453"/>
      <c r="C8" s="454"/>
      <c r="D8" s="455"/>
      <c r="E8" s="482"/>
      <c r="F8" s="483"/>
      <c r="G8" s="526"/>
      <c r="H8" s="526"/>
      <c r="I8" s="62"/>
      <c r="J8" s="477"/>
      <c r="K8" s="477"/>
      <c r="L8" s="477"/>
      <c r="M8" s="62"/>
      <c r="Q8" s="60"/>
    </row>
    <row r="9" spans="1:21">
      <c r="A9" s="126"/>
      <c r="B9" s="453"/>
      <c r="C9" s="454"/>
      <c r="D9" s="455"/>
      <c r="E9" s="482"/>
      <c r="F9" s="483"/>
      <c r="G9" s="526"/>
      <c r="H9" s="526"/>
      <c r="I9" s="62"/>
      <c r="J9" s="477"/>
      <c r="K9" s="477"/>
      <c r="L9" s="477"/>
      <c r="M9" s="62"/>
      <c r="Q9" s="60"/>
    </row>
    <row r="10" spans="1:21">
      <c r="A10" s="126"/>
      <c r="B10" s="453"/>
      <c r="C10" s="454"/>
      <c r="D10" s="455"/>
      <c r="E10" s="482"/>
      <c r="F10" s="483"/>
      <c r="G10" s="526"/>
      <c r="H10" s="526"/>
      <c r="I10" s="62"/>
      <c r="J10" s="477"/>
      <c r="K10" s="477"/>
      <c r="L10" s="477"/>
      <c r="M10" s="62"/>
      <c r="Q10" s="60"/>
    </row>
    <row r="11" spans="1:21">
      <c r="A11" s="126"/>
      <c r="B11" s="453"/>
      <c r="C11" s="454"/>
      <c r="D11" s="455"/>
      <c r="E11" s="482"/>
      <c r="F11" s="483"/>
      <c r="G11" s="526"/>
      <c r="H11" s="526"/>
      <c r="I11" s="62"/>
      <c r="J11" s="477"/>
      <c r="K11" s="477"/>
      <c r="L11" s="477"/>
      <c r="M11" s="62"/>
      <c r="Q11" s="60"/>
    </row>
    <row r="12" spans="1:21">
      <c r="A12" s="126"/>
      <c r="B12" s="453"/>
      <c r="C12" s="454"/>
      <c r="D12" s="455"/>
      <c r="E12" s="482"/>
      <c r="F12" s="483"/>
      <c r="G12" s="526"/>
      <c r="H12" s="526"/>
      <c r="I12" s="62"/>
      <c r="J12" s="477"/>
      <c r="K12" s="477"/>
      <c r="L12" s="477"/>
      <c r="M12" s="62"/>
      <c r="Q12" s="60"/>
    </row>
    <row r="13" spans="1:21">
      <c r="A13" s="126"/>
      <c r="B13" s="141"/>
      <c r="C13" s="219"/>
      <c r="D13" s="142"/>
      <c r="E13" s="482"/>
      <c r="F13" s="483"/>
      <c r="G13" s="526"/>
      <c r="H13" s="526"/>
      <c r="I13" s="62"/>
      <c r="J13" s="477"/>
      <c r="K13" s="477"/>
      <c r="L13" s="477"/>
      <c r="M13" s="62"/>
      <c r="Q13" s="60"/>
    </row>
    <row r="14" spans="1:21">
      <c r="A14" s="126"/>
      <c r="B14" s="453"/>
      <c r="C14" s="454"/>
      <c r="D14" s="455"/>
      <c r="E14" s="482"/>
      <c r="F14" s="483"/>
      <c r="G14" s="526"/>
      <c r="H14" s="526"/>
      <c r="I14" s="62"/>
      <c r="J14" s="477"/>
      <c r="K14" s="477"/>
      <c r="L14" s="477"/>
      <c r="M14" s="62"/>
      <c r="Q14" s="60"/>
    </row>
    <row r="15" spans="1:21" ht="18.75" customHeight="1">
      <c r="A15" s="126"/>
      <c r="B15" s="456"/>
      <c r="C15" s="457"/>
      <c r="D15" s="458"/>
      <c r="E15" s="482"/>
      <c r="F15" s="483"/>
      <c r="G15" s="527"/>
      <c r="H15" s="527"/>
      <c r="I15" s="62"/>
      <c r="J15" s="477"/>
      <c r="K15" s="477"/>
      <c r="L15" s="477"/>
      <c r="M15" s="62"/>
    </row>
    <row r="16" spans="1:21" ht="6" customHeight="1">
      <c r="A16" s="126"/>
      <c r="G16" s="59"/>
    </row>
    <row r="17" spans="1:22">
      <c r="A17" s="126"/>
      <c r="B17" s="443" t="s">
        <v>366</v>
      </c>
      <c r="C17" s="443"/>
      <c r="D17" s="447" t="s">
        <v>412</v>
      </c>
      <c r="E17" s="447"/>
      <c r="H17" s="128"/>
      <c r="I17" s="128"/>
      <c r="J17" s="128"/>
      <c r="N17" s="286" t="s">
        <v>360</v>
      </c>
    </row>
    <row r="18" spans="1:22" ht="15" customHeight="1">
      <c r="A18" s="126"/>
      <c r="B18" s="443" t="s">
        <v>356</v>
      </c>
      <c r="C18" s="443"/>
      <c r="D18" s="444" t="s">
        <v>413</v>
      </c>
      <c r="E18" s="444"/>
      <c r="G18" s="127"/>
      <c r="H18" s="128"/>
      <c r="I18" s="128"/>
      <c r="J18" s="128"/>
    </row>
    <row r="19" spans="1:22" ht="16.5" customHeight="1">
      <c r="A19" s="126"/>
      <c r="B19" s="445" t="s">
        <v>365</v>
      </c>
      <c r="C19" s="446"/>
      <c r="D19" s="444" t="s">
        <v>316</v>
      </c>
      <c r="E19" s="444"/>
      <c r="G19" s="127"/>
      <c r="H19" s="128"/>
      <c r="I19" s="128"/>
      <c r="J19" s="128"/>
      <c r="M19" s="285" t="s">
        <v>361</v>
      </c>
      <c r="N19" s="256" t="s">
        <v>552</v>
      </c>
    </row>
    <row r="20" spans="1:22">
      <c r="A20" s="126"/>
      <c r="I20" s="435"/>
      <c r="J20" s="435"/>
      <c r="K20" s="435"/>
      <c r="L20" s="435"/>
      <c r="M20" s="285" t="s">
        <v>306</v>
      </c>
      <c r="N20" s="256" t="s">
        <v>639</v>
      </c>
    </row>
    <row r="21" spans="1:22">
      <c r="A21" s="126"/>
      <c r="F21" s="59"/>
      <c r="G21" s="471"/>
      <c r="H21" s="471"/>
      <c r="I21" s="175"/>
      <c r="J21" s="442"/>
      <c r="K21" s="442"/>
      <c r="L21" s="175"/>
      <c r="M21" s="285" t="s">
        <v>362</v>
      </c>
      <c r="N21" s="256" t="s">
        <v>412</v>
      </c>
    </row>
    <row r="22" spans="1:22" s="65" customFormat="1" ht="15.75" customHeight="1">
      <c r="A22" s="126"/>
      <c r="B22" s="436" t="s">
        <v>367</v>
      </c>
      <c r="C22" s="437"/>
      <c r="D22" s="438"/>
      <c r="E22" s="136" t="s">
        <v>375</v>
      </c>
      <c r="F22" s="59"/>
      <c r="G22" s="176"/>
      <c r="H22" s="176"/>
      <c r="I22" s="173"/>
      <c r="J22" s="471"/>
      <c r="K22" s="471"/>
      <c r="L22" s="173"/>
      <c r="M22" s="285" t="s">
        <v>363</v>
      </c>
      <c r="N22" s="282" t="s">
        <v>278</v>
      </c>
    </row>
    <row r="23" spans="1:22" s="65" customFormat="1" ht="17.25" customHeight="1">
      <c r="A23" s="129"/>
      <c r="B23" s="440" t="s">
        <v>357</v>
      </c>
      <c r="C23" s="441"/>
      <c r="D23" s="131" t="s">
        <v>359</v>
      </c>
      <c r="E23" s="131" t="s">
        <v>374</v>
      </c>
      <c r="F23" s="60"/>
      <c r="G23" s="177"/>
      <c r="H23" s="177"/>
      <c r="I23" s="132"/>
      <c r="J23" s="433"/>
      <c r="K23" s="433"/>
      <c r="L23" s="132"/>
      <c r="M23" s="61"/>
    </row>
    <row r="24" spans="1:22" s="65" customFormat="1" ht="20.100000000000001" customHeight="1">
      <c r="A24" s="129"/>
      <c r="B24" s="440" t="s">
        <v>358</v>
      </c>
      <c r="C24" s="441"/>
      <c r="D24" s="131" t="s">
        <v>359</v>
      </c>
      <c r="E24" s="131" t="s">
        <v>374</v>
      </c>
      <c r="G24" s="174"/>
      <c r="H24" s="174"/>
      <c r="I24" s="174"/>
      <c r="J24" s="174"/>
      <c r="K24" s="174"/>
      <c r="L24" s="174"/>
    </row>
    <row r="25" spans="1:22" s="65" customFormat="1" ht="20.100000000000001" customHeight="1">
      <c r="A25" s="129"/>
      <c r="K25" s="134"/>
      <c r="L25" s="134" t="s">
        <v>364</v>
      </c>
    </row>
    <row r="26" spans="1:22" s="65" customFormat="1" ht="15.75" customHeight="1">
      <c r="C26" s="178"/>
      <c r="M26" s="61"/>
      <c r="S26" s="59"/>
      <c r="T26" s="59"/>
      <c r="U26" s="59"/>
      <c r="V26" s="59"/>
    </row>
    <row r="27" spans="1:22" s="65" customFormat="1" ht="16.5" customHeight="1">
      <c r="B27" s="177"/>
      <c r="C27" s="132"/>
      <c r="M27" s="66"/>
      <c r="R27" s="59"/>
      <c r="S27" s="59"/>
      <c r="T27" s="59"/>
      <c r="U27" s="59"/>
      <c r="V27" s="59"/>
    </row>
    <row r="28" spans="1:22" s="65" customFormat="1" ht="20.100000000000001" customHeight="1">
      <c r="B28" s="177"/>
      <c r="C28" s="132"/>
      <c r="M28" s="66"/>
      <c r="N28" s="66"/>
      <c r="O28" s="61"/>
      <c r="P28" s="66"/>
      <c r="Q28" s="59"/>
      <c r="R28" s="59"/>
      <c r="S28" s="59"/>
      <c r="T28" s="59"/>
      <c r="U28" s="59"/>
      <c r="V28" s="59"/>
    </row>
    <row r="29" spans="1:22" s="65" customFormat="1" ht="22.5" customHeight="1">
      <c r="B29" s="177"/>
      <c r="C29" s="132"/>
      <c r="M29" s="66"/>
      <c r="N29" s="66"/>
      <c r="O29" s="61"/>
      <c r="P29" s="66"/>
      <c r="Q29" s="59"/>
      <c r="R29" s="59"/>
      <c r="S29" s="59"/>
      <c r="T29" s="59"/>
      <c r="U29" s="59"/>
      <c r="V29" s="59"/>
    </row>
    <row r="30" spans="1:22" s="65" customFormat="1" ht="21" customHeight="1">
      <c r="B30" s="177"/>
      <c r="C30" s="132"/>
      <c r="F30" s="433"/>
      <c r="G30" s="433"/>
      <c r="M30" s="66"/>
      <c r="N30" s="66"/>
      <c r="O30" s="61"/>
      <c r="P30" s="66"/>
      <c r="Q30" s="59"/>
      <c r="R30" s="59"/>
      <c r="S30" s="59"/>
      <c r="T30" s="59"/>
      <c r="U30" s="59"/>
      <c r="V30" s="59"/>
    </row>
    <row r="31" spans="1:22" s="65" customFormat="1" ht="17.25" customHeight="1">
      <c r="A31" s="129"/>
      <c r="F31" s="132"/>
      <c r="M31" s="61"/>
      <c r="N31" s="66"/>
      <c r="O31" s="61"/>
      <c r="P31" s="66"/>
      <c r="Q31" s="59"/>
      <c r="R31" s="59"/>
      <c r="S31" s="59"/>
      <c r="T31" s="59"/>
      <c r="U31" s="59"/>
    </row>
    <row r="32" spans="1:22" ht="21.75" customHeight="1">
      <c r="A32" s="129"/>
      <c r="B32" s="65"/>
      <c r="D32" s="65"/>
      <c r="E32" s="65"/>
      <c r="F32" s="132"/>
      <c r="G32" s="65"/>
      <c r="H32" s="65"/>
      <c r="I32" s="65"/>
      <c r="J32" s="65"/>
      <c r="K32" s="65"/>
      <c r="L32" s="61"/>
      <c r="M32" s="61"/>
    </row>
    <row r="33" spans="1:11">
      <c r="A33" s="126"/>
      <c r="B33" s="65"/>
      <c r="C33" s="65"/>
      <c r="D33" s="65"/>
      <c r="E33" s="65"/>
      <c r="F33" s="132"/>
      <c r="G33" s="61"/>
      <c r="H33" s="65"/>
      <c r="I33" s="65"/>
      <c r="J33" s="65"/>
      <c r="K33" s="65"/>
    </row>
    <row r="34" spans="1:11">
      <c r="A34" s="126"/>
      <c r="E34" s="59"/>
    </row>
    <row r="35" spans="1:11">
      <c r="A35" s="126"/>
    </row>
    <row r="36" spans="1:11">
      <c r="A36" s="126"/>
    </row>
    <row r="37" spans="1:11">
      <c r="A37" s="126"/>
      <c r="E37" s="60" t="s">
        <v>309</v>
      </c>
    </row>
  </sheetData>
  <sheetProtection algorithmName="SHA-512" hashValue="pQUUu5Hj/a2bTl0954Ow/Sv5r7j7YRKJdzoXKweIVUSaOcyyGwY6/cnIlqfJn/dZ4U3O8CpkA7Mm5QDIHKTFKg==" saltValue="zyf8LD4nmZrLhHPhRG8gUg==" spinCount="100000" sheet="1" objects="1" scenarios="1"/>
  <mergeCells count="43">
    <mergeCell ref="F30:G30"/>
    <mergeCell ref="B22:D22"/>
    <mergeCell ref="J22:K22"/>
    <mergeCell ref="B23:C23"/>
    <mergeCell ref="J23:K23"/>
    <mergeCell ref="B24:C24"/>
    <mergeCell ref="G7:G15"/>
    <mergeCell ref="B18:C18"/>
    <mergeCell ref="D18:E18"/>
    <mergeCell ref="E9:F9"/>
    <mergeCell ref="E12:F12"/>
    <mergeCell ref="I20:L20"/>
    <mergeCell ref="G21:H21"/>
    <mergeCell ref="J21:K21"/>
    <mergeCell ref="B14:D15"/>
    <mergeCell ref="E14:F14"/>
    <mergeCell ref="J14:L14"/>
    <mergeCell ref="E15:F15"/>
    <mergeCell ref="J15:L15"/>
    <mergeCell ref="B17:C17"/>
    <mergeCell ref="D17:E17"/>
    <mergeCell ref="B19:C19"/>
    <mergeCell ref="D19:E19"/>
    <mergeCell ref="H7:H15"/>
    <mergeCell ref="J7:L7"/>
    <mergeCell ref="E8:F8"/>
    <mergeCell ref="J8:L8"/>
    <mergeCell ref="J12:L12"/>
    <mergeCell ref="E13:F13"/>
    <mergeCell ref="J13:L13"/>
    <mergeCell ref="B1:U2"/>
    <mergeCell ref="B3:C3"/>
    <mergeCell ref="D3:F3"/>
    <mergeCell ref="E5:H5"/>
    <mergeCell ref="I5:M6"/>
    <mergeCell ref="E6:F6"/>
    <mergeCell ref="J9:L9"/>
    <mergeCell ref="E10:F10"/>
    <mergeCell ref="J10:L10"/>
    <mergeCell ref="E11:F11"/>
    <mergeCell ref="J11:L11"/>
    <mergeCell ref="B7:D12"/>
    <mergeCell ref="E7:F7"/>
  </mergeCells>
  <conditionalFormatting sqref="I11:I15 I7:L8 E7:G7 J11:M11 E8:F15">
    <cfRule type="duplicateValues" dxfId="12" priority="1"/>
  </conditionalFormatting>
  <conditionalFormatting sqref="I11:I15 C13 E7:G7 I7:L8 J11:M11 E8:F15">
    <cfRule type="duplicateValues" dxfId="11" priority="2"/>
  </conditionalFormatting>
  <pageMargins left="0.24" right="0.26" top="0.78740157480314965" bottom="0.78740157480314965" header="0.31496062992125984" footer="0.31496062992125984"/>
  <pageSetup paperSize="9" scale="8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MP100692_Botão1_Clique">
                <anchor moveWithCells="1" sizeWithCells="1">
                  <from>
                    <xdr:col>17</xdr:col>
                    <xdr:colOff>373380</xdr:colOff>
                    <xdr:row>0</xdr:row>
                    <xdr:rowOff>68580</xdr:rowOff>
                  </from>
                  <to>
                    <xdr:col>18</xdr:col>
                    <xdr:colOff>381000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3"/>
  <dimension ref="A2:F17"/>
  <sheetViews>
    <sheetView workbookViewId="0">
      <selection activeCell="E7" sqref="E7"/>
    </sheetView>
  </sheetViews>
  <sheetFormatPr defaultColWidth="9.109375" defaultRowHeight="14.4"/>
  <cols>
    <col min="1" max="1" width="4.33203125" style="211" customWidth="1"/>
    <col min="2" max="2" width="9" style="211" customWidth="1"/>
    <col min="3" max="3" width="13.5546875" style="212" customWidth="1"/>
    <col min="4" max="4" width="12.5546875" style="212" customWidth="1"/>
    <col min="5" max="5" width="20.44140625" style="212" customWidth="1"/>
    <col min="6" max="6" width="82.109375" style="212" customWidth="1"/>
    <col min="7" max="16384" width="9.109375" style="212"/>
  </cols>
  <sheetData>
    <row r="2" spans="1:6" ht="27" customHeight="1">
      <c r="B2" s="195" t="s">
        <v>442</v>
      </c>
      <c r="C2" s="195" t="s">
        <v>435</v>
      </c>
      <c r="D2" s="195" t="s">
        <v>443</v>
      </c>
      <c r="E2" s="213" t="s">
        <v>436</v>
      </c>
      <c r="F2" s="195" t="s">
        <v>437</v>
      </c>
    </row>
    <row r="3" spans="1:6" s="217" customFormat="1" ht="18.75" customHeight="1">
      <c r="A3" s="214">
        <v>1</v>
      </c>
      <c r="B3" s="215" t="s">
        <v>441</v>
      </c>
      <c r="C3" s="216">
        <v>43627</v>
      </c>
      <c r="D3" s="215" t="s">
        <v>438</v>
      </c>
      <c r="E3" s="215" t="s">
        <v>439</v>
      </c>
      <c r="F3" s="215" t="s">
        <v>440</v>
      </c>
    </row>
    <row r="4" spans="1:6" s="217" customFormat="1" ht="18.75" customHeight="1">
      <c r="A4" s="214">
        <v>2</v>
      </c>
      <c r="B4" s="215" t="s">
        <v>618</v>
      </c>
      <c r="C4" s="216">
        <v>44133</v>
      </c>
      <c r="D4" s="215" t="s">
        <v>82</v>
      </c>
      <c r="E4" s="215" t="s">
        <v>619</v>
      </c>
      <c r="F4" s="215" t="s">
        <v>620</v>
      </c>
    </row>
    <row r="5" spans="1:6" s="217" customFormat="1" ht="18.75" customHeight="1">
      <c r="A5" s="214">
        <v>3</v>
      </c>
      <c r="B5" s="215" t="s">
        <v>634</v>
      </c>
      <c r="C5" s="216">
        <v>44495</v>
      </c>
      <c r="D5" s="215" t="s">
        <v>82</v>
      </c>
      <c r="E5" s="215" t="s">
        <v>619</v>
      </c>
      <c r="F5" s="215" t="s">
        <v>635</v>
      </c>
    </row>
    <row r="6" spans="1:6" s="217" customFormat="1" ht="18.75" customHeight="1">
      <c r="A6" s="214">
        <v>4</v>
      </c>
      <c r="B6" s="215"/>
      <c r="C6" s="218"/>
      <c r="D6" s="218"/>
      <c r="E6" s="218"/>
      <c r="F6" s="218"/>
    </row>
    <row r="7" spans="1:6" s="217" customFormat="1" ht="18.75" customHeight="1">
      <c r="A7" s="214">
        <v>5</v>
      </c>
      <c r="B7" s="215"/>
      <c r="C7" s="218"/>
      <c r="D7" s="218"/>
      <c r="E7" s="218"/>
      <c r="F7" s="218"/>
    </row>
    <row r="8" spans="1:6" s="217" customFormat="1" ht="18.75" customHeight="1">
      <c r="A8" s="214">
        <v>6</v>
      </c>
      <c r="B8" s="215"/>
      <c r="C8" s="218"/>
      <c r="D8" s="218"/>
      <c r="E8" s="218"/>
      <c r="F8" s="218"/>
    </row>
    <row r="9" spans="1:6" s="217" customFormat="1" ht="18.75" customHeight="1">
      <c r="A9" s="214">
        <v>7</v>
      </c>
      <c r="B9" s="215"/>
      <c r="C9" s="218"/>
      <c r="D9" s="218"/>
      <c r="E9" s="218"/>
      <c r="F9" s="218"/>
    </row>
    <row r="10" spans="1:6" s="217" customFormat="1" ht="18.75" customHeight="1">
      <c r="A10" s="214">
        <v>8</v>
      </c>
      <c r="B10" s="215"/>
      <c r="C10" s="218"/>
      <c r="D10" s="218"/>
      <c r="E10" s="218"/>
      <c r="F10" s="218"/>
    </row>
    <row r="11" spans="1:6" s="217" customFormat="1" ht="18.75" customHeight="1">
      <c r="A11" s="214">
        <v>9</v>
      </c>
      <c r="B11" s="215"/>
      <c r="C11" s="218"/>
      <c r="D11" s="218"/>
      <c r="E11" s="218"/>
      <c r="F11" s="218"/>
    </row>
    <row r="12" spans="1:6" s="217" customFormat="1" ht="18.75" customHeight="1">
      <c r="A12" s="214">
        <v>10</v>
      </c>
      <c r="B12" s="215"/>
      <c r="C12" s="218"/>
      <c r="D12" s="218"/>
      <c r="E12" s="218"/>
      <c r="F12" s="218"/>
    </row>
    <row r="13" spans="1:6" s="217" customFormat="1" ht="18.75" customHeight="1">
      <c r="A13" s="214">
        <v>11</v>
      </c>
      <c r="B13" s="215"/>
      <c r="C13" s="218"/>
      <c r="D13" s="218"/>
      <c r="E13" s="218"/>
      <c r="F13" s="218"/>
    </row>
    <row r="14" spans="1:6" s="217" customFormat="1" ht="18.75" customHeight="1">
      <c r="A14" s="214">
        <v>12</v>
      </c>
      <c r="B14" s="215"/>
      <c r="C14" s="218"/>
      <c r="D14" s="218"/>
      <c r="E14" s="218"/>
      <c r="F14" s="218"/>
    </row>
    <row r="15" spans="1:6" s="217" customFormat="1" ht="18.75" customHeight="1">
      <c r="A15" s="214">
        <v>13</v>
      </c>
      <c r="B15" s="215"/>
      <c r="C15" s="218"/>
      <c r="D15" s="218"/>
      <c r="E15" s="218"/>
      <c r="F15" s="218"/>
    </row>
    <row r="16" spans="1:6" s="217" customFormat="1" ht="18.75" customHeight="1">
      <c r="A16" s="214">
        <v>14</v>
      </c>
      <c r="B16" s="215"/>
      <c r="C16" s="218"/>
      <c r="D16" s="218"/>
      <c r="E16" s="218"/>
      <c r="F16" s="218"/>
    </row>
    <row r="17" spans="1:6" s="217" customFormat="1" ht="18.75" customHeight="1">
      <c r="A17" s="214">
        <v>15</v>
      </c>
      <c r="B17" s="215"/>
      <c r="C17" s="218"/>
      <c r="D17" s="218"/>
      <c r="E17" s="218"/>
      <c r="F17" s="218"/>
    </row>
  </sheetData>
  <sheetProtection algorithmName="SHA-512" hashValue="1lqqZCSbixaE7BBtnFy/40cPyqgXtpTXOgbmJYFMAT9wr9mdSv+lCN5eC/X1h7V93db1qx/A7KyeTHaOtkiqxg==" saltValue="JZPZgfbfV3h9YbqQJwwTVg==" spinCount="100000" sheet="1" objects="1" scenario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2" r:id="rId3" name="Button 2">
              <controlPr defaultSize="0" print="0" autoFill="0" autoPict="0" macro="[0]!ControledeRevisão_Botão2_Clique">
                <anchor moveWithCells="1" sizeWithCells="1">
                  <from>
                    <xdr:col>6</xdr:col>
                    <xdr:colOff>160020</xdr:colOff>
                    <xdr:row>1</xdr:row>
                    <xdr:rowOff>22860</xdr:rowOff>
                  </from>
                  <to>
                    <xdr:col>7</xdr:col>
                    <xdr:colOff>487680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36">
    <tabColor theme="9"/>
  </sheetPr>
  <dimension ref="A1:S34"/>
  <sheetViews>
    <sheetView tabSelected="1" zoomScaleNormal="100" workbookViewId="0">
      <selection activeCell="S9" sqref="S9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3.33203125" style="60" customWidth="1"/>
    <col min="6" max="6" width="11.88671875" style="60" customWidth="1"/>
    <col min="7" max="7" width="11.44140625" style="59" customWidth="1"/>
    <col min="8" max="8" width="8.6640625" style="59" customWidth="1"/>
    <col min="9" max="9" width="10.6640625" style="60" customWidth="1"/>
    <col min="10" max="10" width="6.6640625" style="60" customWidth="1"/>
    <col min="11" max="11" width="10.88671875" style="60" customWidth="1"/>
    <col min="12" max="12" width="10.5546875" style="60" customWidth="1"/>
    <col min="13" max="13" width="9.109375" style="59"/>
    <col min="14" max="14" width="10" style="59" customWidth="1"/>
    <col min="15" max="18" width="9.109375" style="59"/>
    <col min="19" max="19" width="5.88671875" style="59" customWidth="1"/>
    <col min="20" max="16384" width="9.109375" style="59"/>
  </cols>
  <sheetData>
    <row r="1" spans="1:19" ht="17.25" customHeight="1">
      <c r="A1" s="125"/>
      <c r="B1" s="432" t="s">
        <v>373</v>
      </c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2"/>
      <c r="Q1" s="432"/>
      <c r="R1" s="432"/>
      <c r="S1" s="432"/>
    </row>
    <row r="2" spans="1:19" ht="16.5" customHeight="1">
      <c r="A2" s="126"/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432"/>
      <c r="R2" s="432"/>
      <c r="S2" s="432"/>
    </row>
    <row r="3" spans="1:19" ht="16.5" customHeight="1">
      <c r="A3" s="126"/>
      <c r="B3" s="462" t="s">
        <v>297</v>
      </c>
      <c r="C3" s="462"/>
      <c r="D3" s="434" t="s">
        <v>695</v>
      </c>
      <c r="E3" s="434"/>
      <c r="F3" s="67"/>
      <c r="G3" s="67"/>
      <c r="H3" s="67"/>
      <c r="I3" s="67"/>
    </row>
    <row r="4" spans="1:19" ht="16.5" customHeight="1">
      <c r="A4" s="179"/>
      <c r="B4" s="179"/>
      <c r="C4" s="179"/>
      <c r="D4" s="179"/>
      <c r="E4" s="179"/>
      <c r="F4" s="67"/>
      <c r="G4" s="67"/>
      <c r="H4" s="67"/>
      <c r="I4" s="67"/>
    </row>
    <row r="5" spans="1:19" ht="13.5" customHeight="1">
      <c r="A5" s="126"/>
      <c r="E5" s="469" t="s">
        <v>414</v>
      </c>
      <c r="F5" s="470"/>
      <c r="G5" s="467" t="s">
        <v>422</v>
      </c>
      <c r="H5" s="468"/>
      <c r="I5" s="468"/>
    </row>
    <row r="6" spans="1:19" ht="13.5" customHeight="1">
      <c r="A6" s="126"/>
      <c r="E6" s="187" t="s">
        <v>411</v>
      </c>
      <c r="F6" s="187" t="s">
        <v>358</v>
      </c>
      <c r="G6" s="468"/>
      <c r="H6" s="468"/>
      <c r="I6" s="468"/>
      <c r="M6" s="60"/>
    </row>
    <row r="7" spans="1:19" ht="15" customHeight="1">
      <c r="A7" s="126"/>
      <c r="B7" s="459" t="s">
        <v>355</v>
      </c>
      <c r="C7" s="460"/>
      <c r="D7" s="461"/>
      <c r="E7" s="186">
        <v>1453037</v>
      </c>
      <c r="F7" s="186"/>
      <c r="G7" s="150"/>
      <c r="H7" s="138"/>
      <c r="I7" s="150"/>
      <c r="M7" s="60"/>
    </row>
    <row r="8" spans="1:19">
      <c r="A8" s="126"/>
      <c r="B8" s="453"/>
      <c r="C8" s="454"/>
      <c r="D8" s="455"/>
      <c r="E8" s="169"/>
      <c r="F8" s="169"/>
      <c r="G8" s="62"/>
      <c r="H8" s="170"/>
      <c r="I8" s="62"/>
      <c r="J8" s="59"/>
      <c r="M8" s="60"/>
    </row>
    <row r="9" spans="1:19">
      <c r="A9" s="126"/>
      <c r="B9" s="453"/>
      <c r="C9" s="454"/>
      <c r="D9" s="455"/>
      <c r="E9" s="169"/>
      <c r="F9" s="169"/>
      <c r="G9" s="62"/>
      <c r="H9" s="170"/>
      <c r="I9" s="62"/>
      <c r="M9" s="60"/>
    </row>
    <row r="10" spans="1:19">
      <c r="A10" s="126"/>
      <c r="B10" s="453"/>
      <c r="C10" s="454"/>
      <c r="D10" s="455"/>
      <c r="E10" s="169"/>
      <c r="F10" s="169"/>
      <c r="G10" s="62"/>
      <c r="H10" s="170"/>
      <c r="I10" s="62"/>
      <c r="M10" s="60"/>
    </row>
    <row r="11" spans="1:19">
      <c r="A11" s="126"/>
      <c r="B11" s="453"/>
      <c r="C11" s="454"/>
      <c r="D11" s="455"/>
      <c r="E11" s="169"/>
      <c r="F11" s="169"/>
      <c r="G11" s="62"/>
      <c r="H11" s="170"/>
      <c r="I11" s="62"/>
      <c r="M11" s="60"/>
    </row>
    <row r="12" spans="1:19">
      <c r="A12" s="126"/>
      <c r="B12" s="453"/>
      <c r="C12" s="454"/>
      <c r="D12" s="455"/>
      <c r="E12" s="169"/>
      <c r="F12" s="169"/>
      <c r="G12" s="62"/>
      <c r="H12" s="170"/>
      <c r="I12" s="62"/>
      <c r="M12" s="60"/>
    </row>
    <row r="13" spans="1:19">
      <c r="A13" s="126"/>
      <c r="B13" s="141"/>
      <c r="C13" s="219"/>
      <c r="D13" s="142"/>
      <c r="E13" s="169"/>
      <c r="F13" s="169"/>
      <c r="G13" s="62"/>
      <c r="H13" s="170"/>
      <c r="I13" s="62"/>
      <c r="M13" s="60"/>
    </row>
    <row r="14" spans="1:19">
      <c r="A14" s="126"/>
      <c r="B14" s="453"/>
      <c r="C14" s="454"/>
      <c r="D14" s="455"/>
      <c r="E14" s="169"/>
      <c r="F14" s="169"/>
      <c r="G14" s="62"/>
      <c r="H14" s="170"/>
      <c r="I14" s="62"/>
      <c r="M14" s="60"/>
    </row>
    <row r="15" spans="1:19">
      <c r="A15" s="126"/>
      <c r="B15" s="456"/>
      <c r="C15" s="457"/>
      <c r="D15" s="458"/>
      <c r="E15" s="169"/>
      <c r="F15" s="169"/>
      <c r="G15" s="62"/>
      <c r="H15" s="170"/>
      <c r="I15" s="62"/>
      <c r="M15" s="60"/>
    </row>
    <row r="16" spans="1:19" ht="7.5" customHeight="1">
      <c r="A16" s="126"/>
      <c r="F16" s="59"/>
    </row>
    <row r="17" spans="1:18">
      <c r="A17" s="126"/>
      <c r="B17" s="443" t="s">
        <v>366</v>
      </c>
      <c r="C17" s="443"/>
      <c r="D17" s="447" t="s">
        <v>412</v>
      </c>
      <c r="E17" s="447"/>
      <c r="G17" s="128"/>
      <c r="H17" s="128"/>
    </row>
    <row r="18" spans="1:18">
      <c r="A18" s="126"/>
      <c r="B18" s="443" t="s">
        <v>356</v>
      </c>
      <c r="C18" s="443"/>
      <c r="D18" s="444" t="s">
        <v>417</v>
      </c>
      <c r="E18" s="444"/>
      <c r="F18" s="127"/>
      <c r="G18" s="128"/>
      <c r="H18" s="128"/>
    </row>
    <row r="19" spans="1:18" ht="15" customHeight="1">
      <c r="A19" s="126"/>
      <c r="B19" s="445" t="s">
        <v>391</v>
      </c>
      <c r="C19" s="446"/>
      <c r="D19" s="444" t="s">
        <v>696</v>
      </c>
      <c r="E19" s="444"/>
      <c r="F19" s="127"/>
      <c r="G19" s="128"/>
      <c r="H19" s="128"/>
    </row>
    <row r="20" spans="1:18" ht="19.5" customHeight="1">
      <c r="A20" s="126"/>
      <c r="H20" s="435"/>
      <c r="I20" s="435"/>
      <c r="K20" s="279"/>
      <c r="L20" s="566" t="s">
        <v>360</v>
      </c>
      <c r="M20" s="566"/>
    </row>
    <row r="21" spans="1:18">
      <c r="A21" s="126"/>
      <c r="F21" s="471"/>
      <c r="G21" s="471"/>
      <c r="H21" s="175"/>
      <c r="I21" s="175"/>
      <c r="K21" s="281" t="s">
        <v>361</v>
      </c>
      <c r="L21" s="567" t="s">
        <v>697</v>
      </c>
      <c r="M21" s="567"/>
    </row>
    <row r="22" spans="1:18" ht="15.75" customHeight="1">
      <c r="A22" s="126"/>
      <c r="B22" s="436" t="s">
        <v>367</v>
      </c>
      <c r="C22" s="437"/>
      <c r="D22" s="438"/>
      <c r="E22" s="136" t="s">
        <v>375</v>
      </c>
      <c r="F22" s="439"/>
      <c r="G22" s="439"/>
      <c r="H22" s="132"/>
      <c r="I22" s="132"/>
      <c r="K22" s="281" t="s">
        <v>306</v>
      </c>
      <c r="L22" s="567" t="s">
        <v>698</v>
      </c>
      <c r="M22" s="567"/>
    </row>
    <row r="23" spans="1:18" s="65" customFormat="1" ht="17.25" customHeight="1">
      <c r="A23" s="126"/>
      <c r="B23" s="440" t="s">
        <v>357</v>
      </c>
      <c r="C23" s="441"/>
      <c r="D23" s="131" t="s">
        <v>359</v>
      </c>
      <c r="E23" s="131" t="s">
        <v>374</v>
      </c>
      <c r="F23" s="442"/>
      <c r="G23" s="442"/>
      <c r="H23" s="132"/>
      <c r="I23" s="132"/>
      <c r="J23" s="61"/>
      <c r="K23" s="281" t="s">
        <v>362</v>
      </c>
      <c r="L23" s="567" t="s">
        <v>412</v>
      </c>
      <c r="M23" s="567"/>
    </row>
    <row r="24" spans="1:18" s="65" customFormat="1" ht="18.75" customHeight="1">
      <c r="A24" s="129"/>
      <c r="B24" s="440" t="s">
        <v>358</v>
      </c>
      <c r="C24" s="441"/>
      <c r="D24" s="131" t="s">
        <v>389</v>
      </c>
      <c r="E24" s="131" t="s">
        <v>278</v>
      </c>
      <c r="F24" s="433"/>
      <c r="G24" s="433"/>
      <c r="H24" s="433"/>
      <c r="I24" s="433"/>
      <c r="K24" s="281" t="s">
        <v>363</v>
      </c>
      <c r="L24" s="568" t="s">
        <v>699</v>
      </c>
      <c r="M24" s="568"/>
      <c r="O24" s="65" t="s">
        <v>700</v>
      </c>
    </row>
    <row r="25" spans="1:18" s="65" customFormat="1" ht="20.100000000000001" customHeight="1">
      <c r="A25" s="129"/>
    </row>
    <row r="26" spans="1:18" s="65" customFormat="1" ht="20.100000000000001" customHeight="1">
      <c r="A26" s="129"/>
      <c r="B26" s="134"/>
      <c r="J26" s="66"/>
      <c r="K26" s="61"/>
      <c r="L26" s="66"/>
      <c r="M26" s="59"/>
      <c r="N26" s="59"/>
      <c r="O26" s="59"/>
      <c r="P26" s="59"/>
      <c r="Q26" s="59"/>
      <c r="R26" s="59"/>
    </row>
    <row r="27" spans="1:18" s="65" customFormat="1" ht="17.25" customHeight="1">
      <c r="A27" s="129"/>
      <c r="I27" s="61"/>
      <c r="J27" s="66"/>
      <c r="K27" s="61"/>
      <c r="L27" s="66"/>
      <c r="M27" s="59"/>
      <c r="N27" s="59"/>
      <c r="O27" s="59"/>
      <c r="P27" s="59"/>
      <c r="Q27" s="59"/>
    </row>
    <row r="28" spans="1:18" s="60" customFormat="1" ht="21.75" customHeight="1">
      <c r="A28" s="129"/>
      <c r="B28" s="65"/>
      <c r="C28" s="65"/>
      <c r="D28" s="65"/>
      <c r="E28" s="65"/>
      <c r="F28" s="61"/>
      <c r="G28" s="65"/>
      <c r="H28" s="65"/>
      <c r="M28" s="59"/>
      <c r="N28" s="59"/>
      <c r="O28" s="59"/>
      <c r="P28" s="59"/>
      <c r="Q28" s="59"/>
      <c r="R28" s="59"/>
    </row>
    <row r="29" spans="1:18" s="60" customFormat="1">
      <c r="A29" s="126"/>
      <c r="B29" s="59"/>
      <c r="C29" s="59"/>
      <c r="D29" s="59"/>
      <c r="E29" s="59"/>
      <c r="G29" s="59"/>
      <c r="H29" s="59"/>
      <c r="M29" s="59"/>
      <c r="N29" s="59"/>
      <c r="O29" s="59"/>
      <c r="P29" s="59"/>
      <c r="Q29" s="59"/>
      <c r="R29" s="59"/>
    </row>
    <row r="30" spans="1:18" s="60" customFormat="1">
      <c r="A30" s="126"/>
      <c r="B30" s="59"/>
      <c r="C30" s="59"/>
      <c r="D30" s="59"/>
      <c r="G30" s="59"/>
      <c r="H30" s="59"/>
      <c r="M30" s="59"/>
      <c r="N30" s="59"/>
      <c r="O30" s="59"/>
      <c r="P30" s="59"/>
      <c r="Q30" s="59"/>
      <c r="R30" s="59"/>
    </row>
    <row r="31" spans="1:18" s="60" customFormat="1">
      <c r="A31" s="126"/>
      <c r="B31" s="59"/>
      <c r="C31" s="59"/>
      <c r="D31" s="59"/>
      <c r="G31" s="59"/>
      <c r="H31" s="59"/>
      <c r="M31" s="59"/>
      <c r="N31" s="59"/>
      <c r="O31" s="59"/>
      <c r="P31" s="59"/>
      <c r="Q31" s="59"/>
      <c r="R31" s="59"/>
    </row>
    <row r="32" spans="1:18" s="60" customFormat="1">
      <c r="A32" s="126"/>
      <c r="B32" s="59"/>
      <c r="C32" s="59"/>
      <c r="D32" s="59"/>
      <c r="E32" s="60" t="s">
        <v>309</v>
      </c>
      <c r="G32" s="59"/>
      <c r="H32" s="59"/>
      <c r="M32" s="59"/>
      <c r="N32" s="59"/>
      <c r="O32" s="59"/>
      <c r="P32" s="59"/>
      <c r="Q32" s="59"/>
      <c r="R32" s="59"/>
    </row>
    <row r="33" spans="1:18" s="60" customFormat="1">
      <c r="A33" s="126"/>
      <c r="B33" s="59"/>
      <c r="C33" s="59"/>
      <c r="D33" s="59"/>
      <c r="G33" s="59"/>
      <c r="H33" s="59"/>
      <c r="M33" s="59"/>
      <c r="N33" s="59"/>
      <c r="O33" s="59"/>
      <c r="P33" s="59"/>
      <c r="Q33" s="59"/>
      <c r="R33" s="59"/>
    </row>
    <row r="34" spans="1:18" s="60" customFormat="1">
      <c r="A34" s="59"/>
      <c r="B34" s="59"/>
      <c r="C34" s="59"/>
      <c r="D34" s="59"/>
      <c r="G34" s="59"/>
      <c r="H34" s="59"/>
      <c r="M34" s="59"/>
      <c r="N34" s="59"/>
      <c r="O34" s="59"/>
      <c r="P34" s="59"/>
      <c r="Q34" s="59"/>
      <c r="R34" s="59"/>
    </row>
  </sheetData>
  <mergeCells count="26">
    <mergeCell ref="B24:C24"/>
    <mergeCell ref="F24:I24"/>
    <mergeCell ref="L20:M20"/>
    <mergeCell ref="L21:M21"/>
    <mergeCell ref="L22:M22"/>
    <mergeCell ref="L23:M23"/>
    <mergeCell ref="L24:M24"/>
    <mergeCell ref="H20:I20"/>
    <mergeCell ref="F21:G21"/>
    <mergeCell ref="B22:D22"/>
    <mergeCell ref="F22:G22"/>
    <mergeCell ref="B23:C23"/>
    <mergeCell ref="F23:G23"/>
    <mergeCell ref="B19:C19"/>
    <mergeCell ref="D19:E19"/>
    <mergeCell ref="B1:S2"/>
    <mergeCell ref="B3:C3"/>
    <mergeCell ref="D3:E3"/>
    <mergeCell ref="E5:F5"/>
    <mergeCell ref="G5:I6"/>
    <mergeCell ref="B7:D12"/>
    <mergeCell ref="B14:D15"/>
    <mergeCell ref="B17:C17"/>
    <mergeCell ref="D17:E17"/>
    <mergeCell ref="B18:C18"/>
    <mergeCell ref="D18:E18"/>
  </mergeCells>
  <conditionalFormatting sqref="G11:G15 G7:H8 E7:F15 H11:I11">
    <cfRule type="duplicateValues" dxfId="10" priority="2"/>
  </conditionalFormatting>
  <conditionalFormatting sqref="G11:G15 C13 E7:F15 G7:H8 H11:I11">
    <cfRule type="duplicateValues" dxfId="9" priority="3"/>
  </conditionalFormatting>
  <conditionalFormatting sqref="C13 E7:E15 G7:I15">
    <cfRule type="duplicateValues" dxfId="8" priority="1"/>
  </conditionalFormatting>
  <pageMargins left="0.23622047244094491" right="0.27559055118110237" top="0.78740157480314965" bottom="0.78740157480314965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MP100692_Botão1_Clique">
                <anchor moveWithCells="1" sizeWithCells="1">
                  <from>
                    <xdr:col>15</xdr:col>
                    <xdr:colOff>259080</xdr:colOff>
                    <xdr:row>0</xdr:row>
                    <xdr:rowOff>68580</xdr:rowOff>
                  </from>
                  <to>
                    <xdr:col>16</xdr:col>
                    <xdr:colOff>327660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35">
    <tabColor theme="9"/>
  </sheetPr>
  <dimension ref="A1:U43"/>
  <sheetViews>
    <sheetView zoomScaleNormal="100" workbookViewId="0">
      <selection activeCell="H12" sqref="H12:I12"/>
    </sheetView>
  </sheetViews>
  <sheetFormatPr defaultColWidth="9.109375" defaultRowHeight="14.4"/>
  <cols>
    <col min="1" max="1" width="2.6640625" style="59" customWidth="1"/>
    <col min="2" max="2" width="9.6640625" style="59" customWidth="1"/>
    <col min="3" max="3" width="11.44140625" style="59" customWidth="1"/>
    <col min="4" max="4" width="11" style="59" customWidth="1"/>
    <col min="5" max="5" width="10.33203125" style="60" customWidth="1"/>
    <col min="6" max="6" width="4" style="60" customWidth="1"/>
    <col min="7" max="7" width="8.6640625" style="60" customWidth="1"/>
    <col min="8" max="8" width="0.88671875" style="59" customWidth="1"/>
    <col min="9" max="9" width="8.6640625" style="59" customWidth="1"/>
    <col min="10" max="10" width="10.6640625" style="59" customWidth="1"/>
    <col min="11" max="11" width="10.6640625" style="60" customWidth="1"/>
    <col min="12" max="12" width="3.33203125" style="60" customWidth="1"/>
    <col min="13" max="13" width="5.109375" style="60" customWidth="1"/>
    <col min="14" max="14" width="13.6640625" style="60" customWidth="1"/>
    <col min="15" max="15" width="9.109375" style="60"/>
    <col min="16" max="16" width="9.5546875" style="59" bestFit="1" customWidth="1"/>
    <col min="17" max="17" width="10" style="59" customWidth="1"/>
    <col min="18" max="16384" width="9.109375" style="59"/>
  </cols>
  <sheetData>
    <row r="1" spans="1:17" ht="17.25" customHeight="1">
      <c r="A1" s="125"/>
      <c r="B1" s="473" t="s">
        <v>373</v>
      </c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</row>
    <row r="2" spans="1:17" ht="16.5" customHeight="1">
      <c r="A2" s="126"/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</row>
    <row r="3" spans="1:17" ht="16.5" customHeight="1">
      <c r="A3" s="126"/>
      <c r="B3" s="549" t="s">
        <v>297</v>
      </c>
      <c r="C3" s="549"/>
      <c r="D3" s="550" t="s">
        <v>342</v>
      </c>
      <c r="E3" s="550"/>
      <c r="F3" s="550"/>
      <c r="G3" s="67"/>
      <c r="H3" s="67"/>
      <c r="I3" s="67"/>
      <c r="J3" s="67"/>
      <c r="K3" s="67"/>
    </row>
    <row r="4" spans="1:17" ht="13.5" customHeight="1">
      <c r="A4" s="126"/>
    </row>
    <row r="5" spans="1:17" ht="15" customHeight="1">
      <c r="A5" s="126"/>
      <c r="E5" s="468" t="s">
        <v>308</v>
      </c>
      <c r="F5" s="468"/>
      <c r="G5" s="468" t="s">
        <v>305</v>
      </c>
      <c r="H5" s="468"/>
      <c r="I5" s="468"/>
      <c r="J5" s="468"/>
      <c r="K5" s="468"/>
      <c r="N5" s="481" t="s">
        <v>393</v>
      </c>
      <c r="O5" s="481"/>
      <c r="P5" s="481"/>
      <c r="Q5" s="481"/>
    </row>
    <row r="6" spans="1:17" ht="15" customHeight="1">
      <c r="A6" s="126"/>
      <c r="B6" s="459" t="s">
        <v>355</v>
      </c>
      <c r="C6" s="460"/>
      <c r="D6" s="461"/>
      <c r="E6" s="483">
        <v>4379651</v>
      </c>
      <c r="F6" s="483"/>
      <c r="G6" s="62">
        <v>9116664</v>
      </c>
      <c r="H6" s="477">
        <v>7790453</v>
      </c>
      <c r="I6" s="477"/>
      <c r="J6" s="62">
        <v>9111664</v>
      </c>
      <c r="K6" s="130">
        <v>1452798</v>
      </c>
      <c r="N6" s="154" t="s">
        <v>383</v>
      </c>
      <c r="O6" s="155" t="s">
        <v>298</v>
      </c>
      <c r="P6" s="155" t="s">
        <v>392</v>
      </c>
      <c r="Q6" s="155" t="s">
        <v>317</v>
      </c>
    </row>
    <row r="7" spans="1:17" ht="15" customHeight="1">
      <c r="A7" s="126"/>
      <c r="B7" s="453"/>
      <c r="C7" s="454"/>
      <c r="D7" s="455"/>
      <c r="E7" s="483"/>
      <c r="F7" s="483"/>
      <c r="G7" s="62">
        <v>1452790</v>
      </c>
      <c r="H7" s="477"/>
      <c r="I7" s="477"/>
      <c r="J7" s="62"/>
      <c r="K7" s="130"/>
      <c r="N7" s="64">
        <v>50</v>
      </c>
      <c r="O7" s="64">
        <v>25</v>
      </c>
      <c r="P7" s="64" t="s">
        <v>278</v>
      </c>
      <c r="Q7" s="64">
        <v>25</v>
      </c>
    </row>
    <row r="8" spans="1:17" ht="15" customHeight="1">
      <c r="A8" s="126"/>
      <c r="B8" s="453"/>
      <c r="C8" s="454"/>
      <c r="D8" s="455"/>
      <c r="E8" s="493"/>
      <c r="F8" s="482"/>
      <c r="G8" s="62"/>
      <c r="H8" s="477"/>
      <c r="I8" s="477"/>
      <c r="J8" s="62"/>
      <c r="K8" s="62"/>
      <c r="N8" s="164">
        <v>100</v>
      </c>
      <c r="O8" s="164">
        <v>50</v>
      </c>
      <c r="P8" s="164" t="s">
        <v>278</v>
      </c>
      <c r="Q8" s="164">
        <v>50</v>
      </c>
    </row>
    <row r="9" spans="1:17" ht="15" customHeight="1">
      <c r="A9" s="126"/>
      <c r="B9" s="453"/>
      <c r="C9" s="454"/>
      <c r="D9" s="455"/>
      <c r="E9" s="493"/>
      <c r="F9" s="482"/>
      <c r="G9" s="62"/>
      <c r="H9" s="477"/>
      <c r="I9" s="477"/>
      <c r="J9" s="62"/>
      <c r="K9" s="62"/>
      <c r="N9" s="64">
        <v>150</v>
      </c>
      <c r="O9" s="64">
        <v>75</v>
      </c>
      <c r="P9" s="64" t="s">
        <v>278</v>
      </c>
      <c r="Q9" s="64">
        <v>75</v>
      </c>
    </row>
    <row r="10" spans="1:17" ht="15" customHeight="1">
      <c r="A10" s="126"/>
      <c r="B10" s="453"/>
      <c r="C10" s="454"/>
      <c r="D10" s="455"/>
      <c r="E10" s="493"/>
      <c r="F10" s="482"/>
      <c r="G10" s="62"/>
      <c r="H10" s="477"/>
      <c r="I10" s="477"/>
      <c r="J10" s="62"/>
      <c r="K10" s="62"/>
      <c r="N10" s="164">
        <v>200</v>
      </c>
      <c r="O10" s="164">
        <v>100</v>
      </c>
      <c r="P10" s="164" t="s">
        <v>278</v>
      </c>
      <c r="Q10" s="164">
        <v>100</v>
      </c>
    </row>
    <row r="11" spans="1:17" ht="15" customHeight="1">
      <c r="A11" s="126"/>
      <c r="B11" s="453"/>
      <c r="C11" s="454"/>
      <c r="D11" s="455"/>
      <c r="E11" s="493"/>
      <c r="F11" s="482"/>
      <c r="G11" s="161"/>
      <c r="H11" s="477"/>
      <c r="I11" s="477"/>
      <c r="J11" s="62"/>
      <c r="K11" s="62"/>
      <c r="N11" s="64">
        <v>250</v>
      </c>
      <c r="O11" s="64">
        <v>125</v>
      </c>
      <c r="P11" s="64" t="s">
        <v>278</v>
      </c>
      <c r="Q11" s="64">
        <v>125</v>
      </c>
    </row>
    <row r="12" spans="1:17">
      <c r="A12" s="126"/>
      <c r="B12" s="453"/>
      <c r="C12" s="454"/>
      <c r="D12" s="455"/>
      <c r="E12" s="493"/>
      <c r="F12" s="482"/>
      <c r="G12" s="62"/>
      <c r="H12" s="477"/>
      <c r="I12" s="477"/>
      <c r="J12" s="62"/>
      <c r="K12" s="62"/>
      <c r="L12" s="59"/>
      <c r="N12" s="164">
        <v>300</v>
      </c>
      <c r="O12" s="164">
        <v>150</v>
      </c>
      <c r="P12" s="164" t="s">
        <v>278</v>
      </c>
      <c r="Q12" s="164">
        <v>150</v>
      </c>
    </row>
    <row r="13" spans="1:17">
      <c r="A13" s="126"/>
      <c r="B13" s="141"/>
      <c r="C13" s="151"/>
      <c r="D13" s="142"/>
      <c r="E13" s="493"/>
      <c r="F13" s="482"/>
      <c r="G13" s="62"/>
      <c r="H13" s="477"/>
      <c r="I13" s="477"/>
      <c r="J13" s="62"/>
      <c r="K13" s="62"/>
      <c r="N13" s="64">
        <v>350</v>
      </c>
      <c r="O13" s="64">
        <v>175</v>
      </c>
      <c r="P13" s="64" t="s">
        <v>278</v>
      </c>
      <c r="Q13" s="64">
        <v>175</v>
      </c>
    </row>
    <row r="14" spans="1:17">
      <c r="A14" s="126"/>
      <c r="B14" s="453"/>
      <c r="C14" s="454"/>
      <c r="D14" s="455"/>
      <c r="E14" s="493"/>
      <c r="F14" s="482"/>
      <c r="G14" s="62"/>
      <c r="H14" s="477"/>
      <c r="I14" s="477"/>
      <c r="J14" s="62"/>
      <c r="K14" s="62"/>
      <c r="N14" s="164">
        <v>400</v>
      </c>
      <c r="O14" s="164">
        <v>200</v>
      </c>
      <c r="P14" s="164" t="s">
        <v>278</v>
      </c>
      <c r="Q14" s="164">
        <v>200</v>
      </c>
    </row>
    <row r="15" spans="1:17">
      <c r="A15" s="126"/>
      <c r="B15" s="456"/>
      <c r="C15" s="457"/>
      <c r="D15" s="458"/>
      <c r="E15" s="482"/>
      <c r="F15" s="483"/>
      <c r="G15" s="62"/>
      <c r="H15" s="477"/>
      <c r="I15" s="477"/>
      <c r="J15" s="62"/>
      <c r="K15" s="62"/>
      <c r="N15" s="64">
        <v>450</v>
      </c>
      <c r="O15" s="64">
        <v>225</v>
      </c>
      <c r="P15" s="64" t="s">
        <v>278</v>
      </c>
      <c r="Q15" s="64">
        <v>225</v>
      </c>
    </row>
    <row r="16" spans="1:17">
      <c r="A16" s="126"/>
      <c r="G16" s="59"/>
      <c r="N16" s="165">
        <v>500</v>
      </c>
      <c r="O16" s="165">
        <v>250</v>
      </c>
      <c r="P16" s="164" t="s">
        <v>278</v>
      </c>
      <c r="Q16" s="164">
        <v>250</v>
      </c>
    </row>
    <row r="17" spans="1:21">
      <c r="A17" s="126"/>
      <c r="B17" s="443" t="s">
        <v>366</v>
      </c>
      <c r="C17" s="443"/>
      <c r="D17" s="447" t="s">
        <v>390</v>
      </c>
      <c r="E17" s="447"/>
      <c r="H17" s="128"/>
      <c r="I17" s="128"/>
    </row>
    <row r="18" spans="1:21">
      <c r="A18" s="126"/>
      <c r="B18" s="443" t="s">
        <v>356</v>
      </c>
      <c r="C18" s="443"/>
      <c r="D18" s="444" t="s">
        <v>398</v>
      </c>
      <c r="E18" s="444"/>
      <c r="G18" s="127"/>
      <c r="H18" s="128"/>
      <c r="I18" s="166" t="s">
        <v>408</v>
      </c>
    </row>
    <row r="19" spans="1:21">
      <c r="A19" s="126"/>
      <c r="B19" s="445" t="s">
        <v>395</v>
      </c>
      <c r="C19" s="446"/>
      <c r="D19" s="444" t="s">
        <v>313</v>
      </c>
      <c r="E19" s="444"/>
      <c r="G19" s="127"/>
      <c r="H19" s="128"/>
      <c r="I19" s="128"/>
    </row>
    <row r="20" spans="1:21" ht="12.75" customHeight="1">
      <c r="A20" s="126"/>
      <c r="I20" s="541" t="s">
        <v>372</v>
      </c>
      <c r="J20" s="541"/>
      <c r="K20" s="541"/>
      <c r="L20" s="569" t="s">
        <v>375</v>
      </c>
      <c r="M20" s="569"/>
    </row>
    <row r="21" spans="1:21">
      <c r="A21" s="126"/>
      <c r="F21" s="59"/>
      <c r="G21" s="471"/>
      <c r="H21" s="542"/>
      <c r="I21" s="137" t="s">
        <v>357</v>
      </c>
      <c r="J21" s="137" t="s">
        <v>358</v>
      </c>
      <c r="K21" s="137" t="s">
        <v>409</v>
      </c>
      <c r="L21" s="569"/>
      <c r="M21" s="569"/>
    </row>
    <row r="22" spans="1:21">
      <c r="A22" s="126"/>
      <c r="B22" s="436" t="s">
        <v>367</v>
      </c>
      <c r="C22" s="437"/>
      <c r="D22" s="438"/>
      <c r="E22" s="136" t="s">
        <v>375</v>
      </c>
      <c r="F22" s="59"/>
      <c r="G22" s="545" t="s">
        <v>370</v>
      </c>
      <c r="H22" s="545"/>
      <c r="I22" s="135" t="s">
        <v>369</v>
      </c>
      <c r="J22" s="135" t="s">
        <v>278</v>
      </c>
      <c r="K22" s="135" t="s">
        <v>369</v>
      </c>
      <c r="L22" s="546" t="s">
        <v>394</v>
      </c>
      <c r="M22" s="547"/>
      <c r="N22" s="65"/>
      <c r="O22" s="65"/>
      <c r="P22" s="65"/>
      <c r="Q22" s="65"/>
    </row>
    <row r="23" spans="1:21" ht="15" customHeight="1">
      <c r="A23" s="126"/>
      <c r="B23" s="440" t="s">
        <v>357</v>
      </c>
      <c r="C23" s="441"/>
      <c r="D23" s="131" t="s">
        <v>359</v>
      </c>
      <c r="E23" s="131" t="s">
        <v>374</v>
      </c>
      <c r="G23" s="548" t="s">
        <v>371</v>
      </c>
      <c r="H23" s="548"/>
      <c r="I23" s="143" t="s">
        <v>278</v>
      </c>
      <c r="J23" s="143" t="s">
        <v>278</v>
      </c>
      <c r="K23" s="143" t="s">
        <v>278</v>
      </c>
      <c r="L23" s="546" t="s">
        <v>278</v>
      </c>
      <c r="M23" s="547"/>
      <c r="N23" s="65"/>
      <c r="O23" s="65"/>
      <c r="P23" s="65"/>
      <c r="Q23" s="65"/>
    </row>
    <row r="24" spans="1:21" ht="19.5" customHeight="1">
      <c r="A24" s="126"/>
      <c r="B24" s="440" t="s">
        <v>358</v>
      </c>
      <c r="C24" s="441"/>
      <c r="D24" s="131" t="s">
        <v>389</v>
      </c>
      <c r="E24" s="131" t="s">
        <v>278</v>
      </c>
      <c r="F24" s="65"/>
      <c r="G24" s="444" t="s">
        <v>376</v>
      </c>
      <c r="H24" s="444"/>
      <c r="I24" s="444"/>
      <c r="J24" s="444"/>
      <c r="K24" s="444"/>
      <c r="L24" s="444"/>
      <c r="M24" s="444"/>
      <c r="N24" s="65"/>
      <c r="O24" s="65"/>
      <c r="P24" s="65"/>
      <c r="Q24" s="65"/>
    </row>
    <row r="25" spans="1:21">
      <c r="A25" s="126"/>
      <c r="B25" s="65"/>
      <c r="C25" s="65"/>
      <c r="D25" s="65"/>
      <c r="E25" s="65"/>
      <c r="F25" s="65"/>
      <c r="G25" s="65"/>
      <c r="H25" s="65"/>
      <c r="I25" s="65"/>
      <c r="J25" s="65"/>
      <c r="K25" s="65"/>
      <c r="N25" s="65"/>
      <c r="O25" s="65"/>
      <c r="P25" s="65"/>
      <c r="Q25" s="65"/>
    </row>
    <row r="26" spans="1:21" ht="15.75" customHeight="1">
      <c r="A26" s="126"/>
      <c r="B26" s="65"/>
      <c r="C26" s="149" t="s">
        <v>360</v>
      </c>
      <c r="D26" s="65"/>
      <c r="E26" s="65"/>
      <c r="F26" s="65"/>
      <c r="G26" s="65"/>
      <c r="H26" s="65"/>
      <c r="I26" s="65"/>
      <c r="J26" s="65"/>
      <c r="K26" s="65"/>
      <c r="N26" s="65"/>
      <c r="O26" s="65"/>
      <c r="P26" s="65"/>
    </row>
    <row r="27" spans="1:21" s="65" customFormat="1" ht="17.25" customHeight="1">
      <c r="A27" s="126"/>
      <c r="B27" s="144" t="s">
        <v>361</v>
      </c>
      <c r="C27" s="147" t="s">
        <v>407</v>
      </c>
      <c r="D27" s="145"/>
      <c r="E27" s="145"/>
      <c r="N27" s="61"/>
      <c r="O27" s="66"/>
      <c r="P27" s="59"/>
      <c r="Q27" s="59"/>
    </row>
    <row r="28" spans="1:21" s="65" customFormat="1" ht="18.75" customHeight="1">
      <c r="A28" s="129"/>
      <c r="B28" s="144" t="s">
        <v>306</v>
      </c>
      <c r="C28" s="147" t="s">
        <v>406</v>
      </c>
      <c r="D28" s="132"/>
      <c r="N28" s="61"/>
      <c r="O28" s="66"/>
      <c r="P28" s="59"/>
      <c r="Q28" s="59"/>
    </row>
    <row r="29" spans="1:21" s="65" customFormat="1" ht="20.100000000000001" customHeight="1">
      <c r="A29" s="129"/>
      <c r="B29" s="144" t="s">
        <v>362</v>
      </c>
      <c r="C29" s="147" t="s">
        <v>311</v>
      </c>
      <c r="D29" s="145"/>
      <c r="E29" s="145"/>
      <c r="F29" s="433"/>
      <c r="G29" s="433"/>
      <c r="N29" s="61"/>
      <c r="O29" s="66"/>
      <c r="P29" s="59"/>
      <c r="Q29" s="59"/>
    </row>
    <row r="30" spans="1:21" s="65" customFormat="1" ht="20.100000000000001" customHeight="1">
      <c r="A30" s="129"/>
      <c r="B30" s="144" t="s">
        <v>363</v>
      </c>
      <c r="C30" s="148" t="s">
        <v>278</v>
      </c>
      <c r="D30" s="146"/>
      <c r="F30" s="132"/>
      <c r="L30" s="61"/>
      <c r="N30" s="61"/>
      <c r="O30" s="66"/>
      <c r="P30" s="59"/>
      <c r="Q30" s="59"/>
    </row>
    <row r="31" spans="1:21" s="65" customFormat="1" ht="16.5" customHeight="1">
      <c r="A31" s="129"/>
      <c r="B31" s="134"/>
      <c r="F31" s="132"/>
      <c r="L31" s="66"/>
      <c r="N31" s="61"/>
      <c r="O31" s="66"/>
      <c r="P31" s="59"/>
      <c r="Q31" s="59"/>
      <c r="R31" s="59"/>
      <c r="S31" s="59"/>
      <c r="T31" s="59"/>
      <c r="U31" s="59"/>
    </row>
    <row r="32" spans="1:21" s="65" customFormat="1" ht="20.100000000000001" customHeight="1">
      <c r="A32" s="129"/>
      <c r="F32" s="132"/>
      <c r="K32" s="61"/>
      <c r="L32" s="66"/>
      <c r="M32" s="66"/>
      <c r="N32" s="60"/>
      <c r="O32" s="60"/>
      <c r="P32" s="59"/>
      <c r="Q32" s="59"/>
      <c r="R32" s="59"/>
      <c r="S32" s="59"/>
      <c r="T32" s="59"/>
      <c r="U32" s="59"/>
    </row>
    <row r="33" spans="1:21" s="65" customFormat="1" ht="22.5" customHeight="1">
      <c r="A33" s="129"/>
      <c r="F33" s="132"/>
      <c r="G33" s="61"/>
      <c r="K33" s="60"/>
      <c r="L33" s="66"/>
      <c r="M33" s="66"/>
      <c r="N33" s="60"/>
      <c r="O33" s="60"/>
      <c r="P33" s="59"/>
      <c r="Q33" s="59"/>
      <c r="R33" s="59"/>
      <c r="S33" s="59"/>
      <c r="T33" s="59"/>
      <c r="U33" s="59"/>
    </row>
    <row r="34" spans="1:21" s="65" customFormat="1" ht="21" customHeight="1">
      <c r="A34" s="129"/>
      <c r="B34" s="59"/>
      <c r="C34" s="59"/>
      <c r="D34" s="59"/>
      <c r="E34" s="59"/>
      <c r="F34" s="60"/>
      <c r="G34" s="60"/>
      <c r="H34" s="59"/>
      <c r="I34" s="59"/>
      <c r="J34" s="59"/>
      <c r="K34" s="60"/>
      <c r="L34" s="61"/>
      <c r="M34" s="66"/>
      <c r="N34" s="60"/>
      <c r="O34" s="60"/>
      <c r="P34" s="59"/>
      <c r="Q34" s="59"/>
      <c r="R34" s="59"/>
      <c r="S34" s="59"/>
      <c r="T34" s="59"/>
      <c r="U34" s="59"/>
    </row>
    <row r="35" spans="1:21" s="65" customFormat="1" ht="20.100000000000001" customHeight="1">
      <c r="A35" s="129"/>
      <c r="B35" s="59"/>
      <c r="C35" s="59"/>
      <c r="D35" s="59"/>
      <c r="E35" s="60"/>
      <c r="F35" s="60"/>
      <c r="G35" s="60"/>
      <c r="H35" s="59"/>
      <c r="I35" s="59"/>
      <c r="J35" s="59"/>
      <c r="K35" s="60"/>
      <c r="L35" s="61"/>
      <c r="M35" s="66"/>
      <c r="N35" s="60"/>
      <c r="O35" s="60"/>
      <c r="P35" s="59"/>
      <c r="Q35" s="59"/>
      <c r="R35" s="59"/>
      <c r="S35" s="59"/>
      <c r="T35" s="59"/>
      <c r="U35" s="59"/>
    </row>
    <row r="36" spans="1:21" s="65" customFormat="1" ht="17.25" customHeight="1">
      <c r="A36" s="129"/>
      <c r="B36" s="59"/>
      <c r="C36" s="59"/>
      <c r="D36" s="59"/>
      <c r="E36" s="60"/>
      <c r="F36" s="60"/>
      <c r="G36" s="60"/>
      <c r="H36" s="59"/>
      <c r="I36" s="59"/>
      <c r="J36" s="59"/>
      <c r="K36" s="60"/>
      <c r="L36" s="61"/>
      <c r="M36" s="66"/>
      <c r="N36" s="60"/>
      <c r="O36" s="60"/>
      <c r="P36" s="59"/>
      <c r="Q36" s="59"/>
      <c r="R36" s="59"/>
      <c r="S36" s="59"/>
      <c r="T36" s="59"/>
    </row>
    <row r="37" spans="1:21" s="60" customFormat="1" ht="21.75" customHeight="1">
      <c r="A37" s="129"/>
      <c r="B37" s="59"/>
      <c r="C37" s="59"/>
      <c r="D37" s="59"/>
      <c r="E37" s="60" t="s">
        <v>309</v>
      </c>
      <c r="H37" s="59"/>
      <c r="I37" s="59"/>
      <c r="J37" s="59"/>
      <c r="P37" s="59"/>
      <c r="Q37" s="59"/>
      <c r="R37" s="59"/>
      <c r="S37" s="59"/>
      <c r="T37" s="59"/>
      <c r="U37" s="59"/>
    </row>
    <row r="38" spans="1:21" s="60" customFormat="1">
      <c r="A38" s="126"/>
      <c r="B38" s="59"/>
      <c r="C38" s="59"/>
      <c r="D38" s="59"/>
      <c r="H38" s="59"/>
      <c r="I38" s="59"/>
      <c r="J38" s="59"/>
      <c r="P38" s="59"/>
      <c r="Q38" s="59"/>
      <c r="R38" s="59"/>
      <c r="S38" s="59"/>
      <c r="T38" s="59"/>
      <c r="U38" s="59"/>
    </row>
    <row r="39" spans="1:21" s="60" customFormat="1">
      <c r="A39" s="126"/>
      <c r="B39" s="59"/>
      <c r="C39" s="59"/>
      <c r="D39" s="59"/>
      <c r="H39" s="59"/>
      <c r="I39" s="59"/>
      <c r="J39" s="59"/>
      <c r="P39" s="59"/>
      <c r="Q39" s="59"/>
      <c r="R39" s="59"/>
      <c r="S39" s="59"/>
      <c r="T39" s="59"/>
      <c r="U39" s="59"/>
    </row>
    <row r="40" spans="1:21" s="60" customFormat="1">
      <c r="A40" s="126"/>
      <c r="B40" s="59"/>
      <c r="C40" s="59"/>
      <c r="D40" s="59"/>
      <c r="H40" s="59"/>
      <c r="I40" s="59"/>
      <c r="J40" s="59"/>
      <c r="P40" s="59"/>
      <c r="Q40" s="59"/>
      <c r="R40" s="59"/>
      <c r="S40" s="59"/>
      <c r="T40" s="59"/>
      <c r="U40" s="59"/>
    </row>
    <row r="41" spans="1:21" s="60" customFormat="1">
      <c r="A41" s="126"/>
      <c r="B41" s="59"/>
      <c r="C41" s="59"/>
      <c r="D41" s="59"/>
      <c r="H41" s="59"/>
      <c r="I41" s="59"/>
      <c r="J41" s="59"/>
      <c r="P41" s="59"/>
      <c r="Q41" s="59"/>
      <c r="R41" s="59"/>
      <c r="S41" s="59"/>
      <c r="T41" s="59"/>
      <c r="U41" s="59"/>
    </row>
    <row r="42" spans="1:21" s="60" customFormat="1">
      <c r="A42" s="126"/>
      <c r="B42" s="59"/>
      <c r="C42" s="59"/>
      <c r="D42" s="59"/>
      <c r="H42" s="59"/>
      <c r="I42" s="59"/>
      <c r="J42" s="59"/>
      <c r="P42" s="59"/>
      <c r="Q42" s="59"/>
      <c r="R42" s="59"/>
      <c r="S42" s="59"/>
      <c r="T42" s="59"/>
      <c r="U42" s="59"/>
    </row>
    <row r="43" spans="1:21" s="60" customFormat="1">
      <c r="A43" s="59"/>
      <c r="B43" s="59"/>
      <c r="C43" s="59"/>
      <c r="D43" s="59"/>
      <c r="H43" s="59"/>
      <c r="I43" s="59"/>
      <c r="J43" s="59"/>
      <c r="P43" s="59"/>
      <c r="Q43" s="59"/>
      <c r="R43" s="59"/>
      <c r="S43" s="59"/>
      <c r="T43" s="59"/>
      <c r="U43" s="59"/>
    </row>
  </sheetData>
  <mergeCells count="46">
    <mergeCell ref="B6:D12"/>
    <mergeCell ref="B1:M2"/>
    <mergeCell ref="B3:C3"/>
    <mergeCell ref="D3:F3"/>
    <mergeCell ref="E5:F5"/>
    <mergeCell ref="G5:K5"/>
    <mergeCell ref="H12:I12"/>
    <mergeCell ref="E13:F13"/>
    <mergeCell ref="H13:I13"/>
    <mergeCell ref="N5:Q5"/>
    <mergeCell ref="E9:F9"/>
    <mergeCell ref="H9:I9"/>
    <mergeCell ref="E10:F10"/>
    <mergeCell ref="E6:F6"/>
    <mergeCell ref="H6:I6"/>
    <mergeCell ref="E7:F7"/>
    <mergeCell ref="H7:I7"/>
    <mergeCell ref="E8:F8"/>
    <mergeCell ref="H8:I8"/>
    <mergeCell ref="H10:I10"/>
    <mergeCell ref="E11:F11"/>
    <mergeCell ref="H11:I11"/>
    <mergeCell ref="E12:F12"/>
    <mergeCell ref="F29:G29"/>
    <mergeCell ref="G24:M24"/>
    <mergeCell ref="I20:K20"/>
    <mergeCell ref="G21:H21"/>
    <mergeCell ref="B22:D22"/>
    <mergeCell ref="G22:H22"/>
    <mergeCell ref="L22:M22"/>
    <mergeCell ref="L20:M21"/>
    <mergeCell ref="L23:M23"/>
    <mergeCell ref="B23:C23"/>
    <mergeCell ref="G23:H23"/>
    <mergeCell ref="B18:C18"/>
    <mergeCell ref="D18:E18"/>
    <mergeCell ref="B19:C19"/>
    <mergeCell ref="D19:E19"/>
    <mergeCell ref="B24:C24"/>
    <mergeCell ref="B14:D15"/>
    <mergeCell ref="E14:F14"/>
    <mergeCell ref="H14:I14"/>
    <mergeCell ref="B17:C17"/>
    <mergeCell ref="D17:E17"/>
    <mergeCell ref="E15:F15"/>
    <mergeCell ref="H15:I15"/>
  </mergeCells>
  <conditionalFormatting sqref="E15:F15 G13:G15 G12:I12 E6:E14 G6:I6">
    <cfRule type="duplicateValues" dxfId="7" priority="8"/>
  </conditionalFormatting>
  <conditionalFormatting sqref="C13 G13:G15 G12:I12 E15:F15 E6:E14 G6:I6">
    <cfRule type="duplicateValues" dxfId="6" priority="7"/>
  </conditionalFormatting>
  <conditionalFormatting sqref="E7 G7:I7">
    <cfRule type="duplicateValues" dxfId="5" priority="6"/>
  </conditionalFormatting>
  <conditionalFormatting sqref="E7 G7:I7">
    <cfRule type="duplicateValues" dxfId="4" priority="5"/>
  </conditionalFormatting>
  <conditionalFormatting sqref="E8:E11 G8:I11">
    <cfRule type="duplicateValues" dxfId="3" priority="4"/>
  </conditionalFormatting>
  <conditionalFormatting sqref="E8:E11 G8:I11">
    <cfRule type="duplicateValues" dxfId="2" priority="3"/>
  </conditionalFormatting>
  <conditionalFormatting sqref="C13 G7:G9 G11:G12">
    <cfRule type="duplicateValues" dxfId="1" priority="2"/>
  </conditionalFormatting>
  <conditionalFormatting sqref="C13 E6:K10">
    <cfRule type="duplicateValues" dxfId="0" priority="1"/>
  </conditionalFormatting>
  <pageMargins left="0.24" right="0.26" top="0.78740157480314965" bottom="0.78740157480314965" header="0.31496062992125984" footer="0.31496062992125984"/>
  <pageSetup paperSize="9" scale="85" orientation="portrait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MP100692_Botão1_Clique">
                <anchor moveWithCells="1" sizeWithCells="1">
                  <from>
                    <xdr:col>13</xdr:col>
                    <xdr:colOff>342900</xdr:colOff>
                    <xdr:row>0</xdr:row>
                    <xdr:rowOff>83820</xdr:rowOff>
                  </from>
                  <to>
                    <xdr:col>14</xdr:col>
                    <xdr:colOff>106680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27</vt:i4>
      </vt:variant>
      <vt:variant>
        <vt:lpstr>Intervalos Nomeados</vt:lpstr>
      </vt:variant>
      <vt:variant>
        <vt:i4>20</vt:i4>
      </vt:variant>
    </vt:vector>
  </HeadingPairs>
  <TitlesOfParts>
    <vt:vector size="47" baseType="lpstr">
      <vt:lpstr>MEP e NE</vt:lpstr>
      <vt:lpstr>Planilha 2</vt:lpstr>
      <vt:lpstr>Localização Prep. Tintas</vt:lpstr>
      <vt:lpstr>Localização Almoxarifado</vt:lpstr>
      <vt:lpstr>Etiquetas</vt:lpstr>
      <vt:lpstr>PRINCIPAL</vt:lpstr>
      <vt:lpstr>MEP 10-031</vt:lpstr>
      <vt:lpstr>MEP 10-053</vt:lpstr>
      <vt:lpstr>MEP 10-075</vt:lpstr>
      <vt:lpstr>MEP 10-075 (2)</vt:lpstr>
      <vt:lpstr>MEP 10-069</vt:lpstr>
      <vt:lpstr>MEP 10-059</vt:lpstr>
      <vt:lpstr>MEP 10-069 (2)</vt:lpstr>
      <vt:lpstr>Planilha1</vt:lpstr>
      <vt:lpstr>MEP 10-053 (2)</vt:lpstr>
      <vt:lpstr>MEP 10-070</vt:lpstr>
      <vt:lpstr>MEP 10-071</vt:lpstr>
      <vt:lpstr>Planilha3</vt:lpstr>
      <vt:lpstr>MEP 10-073</vt:lpstr>
      <vt:lpstr>Canceled</vt:lpstr>
      <vt:lpstr>MEP 10-105</vt:lpstr>
      <vt:lpstr>MEP 10-117</vt:lpstr>
      <vt:lpstr>MEP 10-118</vt:lpstr>
      <vt:lpstr>MEP 10-069 (PPG)</vt:lpstr>
      <vt:lpstr>Controle de Revisão</vt:lpstr>
      <vt:lpstr>MEP 10-077</vt:lpstr>
      <vt:lpstr>MEP 10-129</vt:lpstr>
      <vt:lpstr>Canceled!Area_de_impressao</vt:lpstr>
      <vt:lpstr>'MEP 10-031'!Area_de_impressao</vt:lpstr>
      <vt:lpstr>'MEP 10-053'!Area_de_impressao</vt:lpstr>
      <vt:lpstr>'MEP 10-053 (2)'!Area_de_impressao</vt:lpstr>
      <vt:lpstr>'MEP 10-059'!Area_de_impressao</vt:lpstr>
      <vt:lpstr>'MEP 10-069'!Area_de_impressao</vt:lpstr>
      <vt:lpstr>'MEP 10-069 (2)'!Area_de_impressao</vt:lpstr>
      <vt:lpstr>'MEP 10-069 (PPG)'!Area_de_impressao</vt:lpstr>
      <vt:lpstr>'MEP 10-070'!Area_de_impressao</vt:lpstr>
      <vt:lpstr>'MEP 10-071'!Area_de_impressao</vt:lpstr>
      <vt:lpstr>'MEP 10-075'!Area_de_impressao</vt:lpstr>
      <vt:lpstr>'MEP 10-075 (2)'!Area_de_impressao</vt:lpstr>
      <vt:lpstr>'MEP 10-077'!Area_de_impressao</vt:lpstr>
      <vt:lpstr>'MEP 10-105'!Area_de_impressao</vt:lpstr>
      <vt:lpstr>'MEP 10-117'!Area_de_impressao</vt:lpstr>
      <vt:lpstr>'MEP 10-118'!Area_de_impressao</vt:lpstr>
      <vt:lpstr>'MEP 10-129'!Area_de_impressao</vt:lpstr>
      <vt:lpstr>'MEP e NE'!Area_de_impressao</vt:lpstr>
      <vt:lpstr>'Localização Prep. Tintas'!Titulos_de_impressao</vt:lpstr>
      <vt:lpstr>'MEP e NE'!Titulos_de_impressao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Particular</dc:creator>
  <cp:lastModifiedBy>Levy Cruz</cp:lastModifiedBy>
  <cp:lastPrinted>2022-08-02T15:38:37Z</cp:lastPrinted>
  <dcterms:created xsi:type="dcterms:W3CDTF">2018-07-20T12:13:50Z</dcterms:created>
  <dcterms:modified xsi:type="dcterms:W3CDTF">2023-05-25T17:27:01Z</dcterms:modified>
</cp:coreProperties>
</file>